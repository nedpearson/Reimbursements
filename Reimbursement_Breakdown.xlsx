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ttings" sheetId="2" state="visible" r:id="rId2"/>
    <sheet name="Ledger" sheetId="3" state="visible" r:id="rId3"/>
    <sheet name="Credits (Paid to Lindsey)" sheetId="4" state="visible" r:id="rId4"/>
    <sheet name="By Month" sheetId="5" state="visible" r:id="rId5"/>
    <sheet name="Review (Excluded)" sheetId="6" state="visible" r:id="rId6"/>
    <sheet name="Missing Bil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-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1F3864"/>
      <sz val="12"/>
    </font>
    <font>
      <name val="Arial"/>
      <b val="1"/>
      <color rgb="00FFFFFF"/>
    </font>
    <font>
      <name val="Arial"/>
    </font>
    <font>
      <name val="Arial"/>
      <b val="1"/>
      <color rgb="000000FF"/>
    </font>
    <font>
      <name val="Arial"/>
      <b val="1"/>
    </font>
    <font>
      <name val="Arial"/>
      <i val="1"/>
      <color rgb="00808080"/>
      <sz val="9"/>
    </font>
    <font>
      <name val="Arial"/>
      <color rgb="00808080"/>
      <sz val="8"/>
    </font>
    <font>
      <name val="Arial"/>
      <sz val="9"/>
    </font>
    <font>
      <name val="Arial"/>
      <i val="1"/>
      <color rgb="00808080"/>
    </font>
    <font>
      <name val="Arial"/>
      <i val="1"/>
      <color rgb="00606060"/>
      <sz val="10"/>
    </font>
    <font>
      <name val="Arial"/>
      <b val="1"/>
      <color rgb="00FFFFFF"/>
      <sz val="13"/>
    </font>
    <font>
      <name val="Arial"/>
      <b val="1"/>
      <sz val="9"/>
    </font>
    <font>
      <name val="Arial"/>
      <color rgb="0060606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1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9" fontId="4" fillId="0" borderId="1" pivotButton="0" quotePrefix="0" xfId="0"/>
    <xf numFmtId="0" fontId="9" fillId="0" borderId="1" pivotButton="0" quotePrefix="0" xfId="0"/>
    <xf numFmtId="0" fontId="6" fillId="4" borderId="1" pivotButton="0" quotePrefix="0" xfId="0"/>
    <xf numFmtId="0" fontId="0" fillId="4" borderId="1" pivotButton="0" quotePrefix="0" xfId="0"/>
    <xf numFmtId="164" fontId="6" fillId="4" borderId="1" pivotButton="0" quotePrefix="0" xfId="0"/>
    <xf numFmtId="0" fontId="0" fillId="0" borderId="1" pivotButton="0" quotePrefix="0" xfId="0"/>
    <xf numFmtId="0" fontId="12" fillId="5" borderId="1" pivotButton="0" quotePrefix="0" xfId="0"/>
    <xf numFmtId="0" fontId="0" fillId="5" borderId="1" pivotButton="0" quotePrefix="0" xfId="0"/>
    <xf numFmtId="164" fontId="12" fillId="5" borderId="1" pivotButton="0" quotePrefix="0" xfId="0"/>
    <xf numFmtId="0" fontId="13" fillId="0" borderId="0" pivotButton="0" quotePrefix="0" xfId="0"/>
    <xf numFmtId="0" fontId="14" fillId="0" borderId="0" pivotButton="0" quotePrefix="0" xfId="0"/>
    <xf numFmtId="0" fontId="2" fillId="0" borderId="0" pivotButton="0" quotePrefix="0" xfId="0"/>
    <xf numFmtId="9" fontId="5" fillId="3" borderId="1" pivotButton="0" quotePrefix="0" xfId="0"/>
    <xf numFmtId="0" fontId="6" fillId="0" borderId="0" pivotButton="0" quotePrefix="0" xfId="0"/>
    <xf numFmtId="0" fontId="5" fillId="3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4" fillId="4" borderId="1" pivotButton="0" quotePrefix="0" xfId="0"/>
    <xf numFmtId="0" fontId="10" fillId="4" borderId="1" pivotButton="0" quotePrefix="0" xfId="0"/>
    <xf numFmtId="0" fontId="14" fillId="0" borderId="1" pivotButton="0" quotePrefix="0" xfId="0"/>
    <xf numFmtId="0" fontId="4" fillId="0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6" customWidth="1" min="4" max="4"/>
  </cols>
  <sheetData>
    <row r="1">
      <c r="A1" s="1" t="inlineStr">
        <is>
          <t>REIMBURSEMENT SUMMARY</t>
        </is>
      </c>
    </row>
    <row r="2">
      <c r="A2" s="2" t="inlineStr">
        <is>
          <t>Gerald "Ned" Pearson — bills in "House Bills" folder. Prepared August 29, 2026.</t>
        </is>
      </c>
    </row>
    <row r="4">
      <c r="A4" s="3" t="inlineStr">
        <is>
          <t>Category</t>
        </is>
      </c>
      <c r="B4" s="3" t="inlineStr">
        <is>
          <t>Total Billed</t>
        </is>
      </c>
      <c r="C4" s="3" t="inlineStr">
        <is>
          <t>% She Owes</t>
        </is>
      </c>
      <c r="D4" s="3" t="inlineStr">
        <is>
          <t>She Owes</t>
        </is>
      </c>
    </row>
    <row r="5">
      <c r="A5" s="4" t="inlineStr">
        <is>
          <t>Utilities</t>
        </is>
      </c>
      <c r="B5" s="5">
        <f>SUMIF(Ledger!$C$4:$C$112,A5,Ledger!$E$4:$E$112)</f>
        <v/>
      </c>
      <c r="C5" s="6">
        <f>IFERROR(INDEX(Settings!$B$5:$B$18,MATCH(A5,Settings!$A$5:$A$18,0)),0)</f>
        <v/>
      </c>
      <c r="D5" s="5">
        <f>SUMIF(Ledger!$C$4:$C$112,A5,Ledger!$H$4:$H$112)</f>
        <v/>
      </c>
    </row>
    <row r="6">
      <c r="A6" s="4" t="inlineStr">
        <is>
          <t>Pool</t>
        </is>
      </c>
      <c r="B6" s="5">
        <f>SUMIF(Ledger!$C$4:$C$112,A6,Ledger!$E$4:$E$112)</f>
        <v/>
      </c>
      <c r="C6" s="6">
        <f>IFERROR(INDEX(Settings!$B$5:$B$18,MATCH(A6,Settings!$A$5:$A$18,0)),0)</f>
        <v/>
      </c>
      <c r="D6" s="5">
        <f>SUMIF(Ledger!$C$4:$C$112,A6,Ledger!$H$4:$H$112)</f>
        <v/>
      </c>
    </row>
    <row r="7">
      <c r="A7" s="4" t="inlineStr">
        <is>
          <t>Storage</t>
        </is>
      </c>
      <c r="B7" s="5">
        <f>SUMIF(Ledger!$C$4:$C$112,A7,Ledger!$E$4:$E$112)</f>
        <v/>
      </c>
      <c r="C7" s="6">
        <f>IFERROR(INDEX(Settings!$B$5:$B$18,MATCH(A7,Settings!$A$5:$A$18,0)),0)</f>
        <v/>
      </c>
      <c r="D7" s="5">
        <f>SUMIF(Ledger!$C$4:$C$112,A7,Ledger!$H$4:$H$112)</f>
        <v/>
      </c>
    </row>
    <row r="8">
      <c r="A8" s="4" t="inlineStr">
        <is>
          <t>Cleaning</t>
        </is>
      </c>
      <c r="B8" s="5">
        <f>SUMIF(Ledger!$C$4:$C$112,A8,Ledger!$E$4:$E$112)</f>
        <v/>
      </c>
      <c r="C8" s="6">
        <f>IFERROR(INDEX(Settings!$B$5:$B$18,MATCH(A8,Settings!$A$5:$A$18,0)),0)</f>
        <v/>
      </c>
      <c r="D8" s="5">
        <f>SUMIF(Ledger!$C$4:$C$112,A8,Ledger!$H$4:$H$112)</f>
        <v/>
      </c>
    </row>
    <row r="9">
      <c r="A9" s="4" t="inlineStr">
        <is>
          <t>Lawn/Yard</t>
        </is>
      </c>
      <c r="B9" s="5">
        <f>SUMIF(Ledger!$C$4:$C$112,A9,Ledger!$E$4:$E$112)</f>
        <v/>
      </c>
      <c r="C9" s="6">
        <f>IFERROR(INDEX(Settings!$B$5:$B$18,MATCH(A9,Settings!$A$5:$A$18,0)),0)</f>
        <v/>
      </c>
      <c r="D9" s="5">
        <f>SUMIF(Ledger!$C$4:$C$112,A9,Ledger!$H$4:$H$112)</f>
        <v/>
      </c>
    </row>
    <row r="10">
      <c r="A10" s="4" t="inlineStr">
        <is>
          <t>AT&amp;T Business</t>
        </is>
      </c>
      <c r="B10" s="5">
        <f>SUMIF(Ledger!$C$4:$C$112,A10,Ledger!$E$4:$E$112)</f>
        <v/>
      </c>
      <c r="C10" s="7" t="inlineStr">
        <is>
          <t>flat $100/mo</t>
        </is>
      </c>
      <c r="D10" s="5">
        <f>SUMIF(Ledger!$C$4:$C$112,A10,Ledger!$H$4:$H$112)</f>
        <v/>
      </c>
    </row>
    <row r="11">
      <c r="A11" s="4" t="inlineStr">
        <is>
          <t>School/Tuition</t>
        </is>
      </c>
      <c r="B11" s="5">
        <f>SUMIF(Ledger!$C$4:$C$112,A11,Ledger!$E$4:$E$112)</f>
        <v/>
      </c>
      <c r="C11" s="6">
        <f>IFERROR(INDEX(Settings!$B$5:$B$18,MATCH(A11,Settings!$A$5:$A$18,0)),0)</f>
        <v/>
      </c>
      <c r="D11" s="5">
        <f>SUMIF(Ledger!$C$4:$C$112,A11,Ledger!$H$4:$H$112)</f>
        <v/>
      </c>
    </row>
    <row r="12">
      <c r="A12" s="4" t="inlineStr">
        <is>
          <t>Medical/Dental/Vision</t>
        </is>
      </c>
      <c r="B12" s="5">
        <f>SUMIF(Ledger!$C$4:$C$112,A12,Ledger!$E$4:$E$112)</f>
        <v/>
      </c>
      <c r="C12" s="6">
        <f>IFERROR(INDEX(Settings!$B$5:$B$18,MATCH(A12,Settings!$A$5:$A$18,0)),0)</f>
        <v/>
      </c>
      <c r="D12" s="5">
        <f>SUMIF(Ledger!$C$4:$C$112,A12,Ledger!$H$4:$H$112)</f>
        <v/>
      </c>
    </row>
    <row r="13">
      <c r="A13" s="4" t="inlineStr">
        <is>
          <t>Mortgage</t>
        </is>
      </c>
      <c r="B13" s="5">
        <f>SUMIF(Ledger!$C$4:$C$112,A13,Ledger!$E$4:$E$112)</f>
        <v/>
      </c>
      <c r="C13" s="6">
        <f>IFERROR(INDEX(Settings!$B$5:$B$18,MATCH(A13,Settings!$A$5:$A$18,0)),0)</f>
        <v/>
      </c>
      <c r="D13" s="5">
        <f>SUMIF(Ledger!$C$4:$C$112,A13,Ledger!$H$4:$H$112)</f>
        <v/>
      </c>
    </row>
    <row r="14">
      <c r="A14" s="4" t="inlineStr">
        <is>
          <t>Moving/Household</t>
        </is>
      </c>
      <c r="B14" s="5">
        <f>SUMIF(Ledger!$C$4:$C$112,A14,Ledger!$E$4:$E$112)</f>
        <v/>
      </c>
      <c r="C14" s="6">
        <f>IFERROR(INDEX(Settings!$B$5:$B$18,MATCH(A14,Settings!$A$5:$A$18,0)),0)</f>
        <v/>
      </c>
      <c r="D14" s="5">
        <f>SUMIF(Ledger!$C$4:$C$112,A14,Ledger!$H$4:$H$112)</f>
        <v/>
      </c>
    </row>
    <row r="15">
      <c r="A15" s="4" t="inlineStr">
        <is>
          <t>Construction &amp; Home Improvements</t>
        </is>
      </c>
      <c r="B15" s="5">
        <f>SUMIF(Ledger!$C$4:$C$112,A15,Ledger!$E$4:$E$112)</f>
        <v/>
      </c>
      <c r="C15" s="6">
        <f>IFERROR(INDEX(Settings!$B$5:$B$18,MATCH(A15,Settings!$A$5:$A$18,0)),0)</f>
        <v/>
      </c>
      <c r="D15" s="5">
        <f>SUMIF(Ledger!$C$4:$C$112,A15,Ledger!$H$4:$H$112)</f>
        <v/>
      </c>
    </row>
    <row r="16">
      <c r="A16" s="4" t="inlineStr">
        <is>
          <t>Labor</t>
        </is>
      </c>
      <c r="B16" s="5">
        <f>SUMIF(Ledger!$C$4:$C$112,A16,Ledger!$E$4:$E$112)</f>
        <v/>
      </c>
      <c r="C16" s="6">
        <f>IFERROR(INDEX(Settings!$B$5:$B$18,MATCH(A16,Settings!$A$5:$A$18,0)),0)</f>
        <v/>
      </c>
      <c r="D16" s="5">
        <f>SUMIF(Ledger!$C$4:$C$112,A16,Ledger!$H$4:$H$112)</f>
        <v/>
      </c>
    </row>
    <row r="17">
      <c r="A17" s="4" t="inlineStr">
        <is>
          <t>Home Repairs &amp; A/C</t>
        </is>
      </c>
      <c r="B17" s="5">
        <f>SUMIF(Ledger!$C$4:$C$112,A17,Ledger!$E$4:$E$112)</f>
        <v/>
      </c>
      <c r="C17" s="6">
        <f>IFERROR(INDEX(Settings!$B$5:$B$18,MATCH(A17,Settings!$A$5:$A$18,0)),0)</f>
        <v/>
      </c>
      <c r="D17" s="5">
        <f>SUMIF(Ledger!$C$4:$C$112,A17,Ledger!$H$4:$H$112)</f>
        <v/>
      </c>
    </row>
    <row r="18">
      <c r="A18" s="4" t="inlineStr">
        <is>
          <t>Advances to Lindsey</t>
        </is>
      </c>
      <c r="B18" s="5">
        <f>SUMIF(Ledger!$C$4:$C$112,A18,Ledger!$E$4:$E$112)</f>
        <v/>
      </c>
      <c r="C18" s="6">
        <f>IFERROR(INDEX(Settings!$B$5:$B$18,MATCH(A18,Settings!$A$5:$A$18,0)),0)</f>
        <v/>
      </c>
      <c r="D18" s="5">
        <f>SUMIF(Ledger!$C$4:$C$112,A18,Ledger!$H$4:$H$112)</f>
        <v/>
      </c>
    </row>
    <row r="19">
      <c r="A19" s="8" t="inlineStr">
        <is>
          <t>Subtotal (she owes)</t>
        </is>
      </c>
      <c r="B19" s="9" t="n"/>
      <c r="C19" s="9" t="n"/>
      <c r="D19" s="10">
        <f>SUM(D5:D18)</f>
        <v/>
      </c>
    </row>
    <row r="20">
      <c r="A20" s="4" t="inlineStr">
        <is>
          <t>Less: money you already paid Lindsey</t>
        </is>
      </c>
      <c r="B20" s="11" t="n"/>
      <c r="C20" s="11" t="n"/>
      <c r="D20" s="5">
        <f>-IF(Settings!$B$20="Yes",'Credits (Paid to Lindsey)'!$C$4,0)</f>
        <v/>
      </c>
    </row>
    <row r="21">
      <c r="A21" s="12" t="inlineStr">
        <is>
          <t>NET — LINDSEY OWES YOU</t>
        </is>
      </c>
      <c r="B21" s="13" t="n"/>
      <c r="C21" s="13" t="n"/>
      <c r="D21" s="14">
        <f>D19+D20</f>
        <v/>
      </c>
    </row>
    <row r="23">
      <c r="A23" s="15" t="inlineStr">
        <is>
          <t>How this is calculated:</t>
        </is>
      </c>
    </row>
    <row r="24">
      <c r="A24" s="16" t="inlineStr">
        <is>
          <t>• Each bill was read from the folder; utility bills use the current-period charge (past-due balances excluded so nothing double-counts).</t>
        </is>
      </c>
    </row>
    <row r="25">
      <c r="A25" s="16" t="inlineStr">
        <is>
          <t>• Percentages are set on the Settings tab — change them there and every number updates.</t>
        </is>
      </c>
    </row>
    <row r="26">
      <c r="A26" s="16" t="inlineStr">
        <is>
          <t>• School/tuition and medical default to 12%; household costs to 50%.</t>
        </is>
      </c>
    </row>
    <row r="27">
      <c r="A27" s="16" t="inlineStr">
        <is>
          <t>• Tuition invoices are treated as paid; duplicate files and partial-payment receipts are listed on the Review tab, not counted twice.</t>
        </is>
      </c>
    </row>
    <row r="28">
      <c r="A28" s="16" t="inlineStr">
        <is>
          <t>• Direct support to Eli (~$7,700) and child support (~$1,100/mo through 5/1/2026) are excluded from this claim and noted for the record. See the Review tab for other items intentionally excluded (duplicates, business items you flagged, unpaid balances).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</cols>
  <sheetData>
    <row r="1">
      <c r="A1" s="1" t="inlineStr">
        <is>
          <t>Reimbursement Settings — edit the yellow cells; every sheet recalculates automatically</t>
        </is>
      </c>
    </row>
    <row r="3">
      <c r="A3" s="17" t="inlineStr">
        <is>
          <t>Percentage Lindsey reimburses, by category</t>
        </is>
      </c>
    </row>
    <row r="4">
      <c r="A4" s="3" t="inlineStr">
        <is>
          <t>Category</t>
        </is>
      </c>
      <c r="B4" s="3" t="inlineStr">
        <is>
          <t>% She Owes</t>
        </is>
      </c>
    </row>
    <row r="5">
      <c r="A5" s="4" t="inlineStr">
        <is>
          <t>Utilities</t>
        </is>
      </c>
      <c r="B5" s="18" t="n">
        <v>0.5</v>
      </c>
    </row>
    <row r="6">
      <c r="A6" s="4" t="inlineStr">
        <is>
          <t>Pool</t>
        </is>
      </c>
      <c r="B6" s="18" t="n">
        <v>0.5</v>
      </c>
    </row>
    <row r="7">
      <c r="A7" s="4" t="inlineStr">
        <is>
          <t>Storage</t>
        </is>
      </c>
      <c r="B7" s="18" t="n">
        <v>0.5</v>
      </c>
    </row>
    <row r="8">
      <c r="A8" s="4" t="inlineStr">
        <is>
          <t>Cleaning</t>
        </is>
      </c>
      <c r="B8" s="18" t="n">
        <v>0.5</v>
      </c>
    </row>
    <row r="9">
      <c r="A9" s="4" t="inlineStr">
        <is>
          <t>Lawn/Yard</t>
        </is>
      </c>
      <c r="B9" s="18" t="n">
        <v>0.5</v>
      </c>
    </row>
    <row r="10">
      <c r="A10" s="4" t="inlineStr">
        <is>
          <t>AT&amp;T Business</t>
        </is>
      </c>
      <c r="B10" s="18" t="n">
        <v>0</v>
      </c>
    </row>
    <row r="11">
      <c r="A11" s="4" t="inlineStr">
        <is>
          <t>School/Tuition</t>
        </is>
      </c>
      <c r="B11" s="18" t="n">
        <v>0.12</v>
      </c>
    </row>
    <row r="12">
      <c r="A12" s="4" t="inlineStr">
        <is>
          <t>Medical/Dental/Vision</t>
        </is>
      </c>
      <c r="B12" s="18" t="n">
        <v>0.12</v>
      </c>
    </row>
    <row r="13">
      <c r="A13" s="4" t="inlineStr">
        <is>
          <t>Mortgage</t>
        </is>
      </c>
      <c r="B13" s="18" t="n">
        <v>0.5</v>
      </c>
    </row>
    <row r="14">
      <c r="A14" s="4" t="inlineStr">
        <is>
          <t>Moving/Household</t>
        </is>
      </c>
      <c r="B14" s="18" t="n">
        <v>0.8</v>
      </c>
    </row>
    <row r="15">
      <c r="A15" s="4" t="inlineStr">
        <is>
          <t>Construction &amp; Home Improvements</t>
        </is>
      </c>
      <c r="B15" s="18" t="n">
        <v>0.5</v>
      </c>
    </row>
    <row r="16">
      <c r="A16" s="4" t="inlineStr">
        <is>
          <t>Labor</t>
        </is>
      </c>
      <c r="B16" s="18" t="n">
        <v>0.5</v>
      </c>
    </row>
    <row r="17">
      <c r="A17" s="4" t="inlineStr">
        <is>
          <t>Home Repairs &amp; A/C</t>
        </is>
      </c>
      <c r="B17" s="18" t="n">
        <v>0.5</v>
      </c>
    </row>
    <row r="18">
      <c r="A18" s="4" t="inlineStr">
        <is>
          <t>Advances to Lindsey</t>
        </is>
      </c>
      <c r="B18" s="18" t="n">
        <v>1</v>
      </c>
    </row>
    <row r="20">
      <c r="A20" s="19" t="inlineStr">
        <is>
          <t>Subtract money you already paid Lindsey (Venmo credits)?</t>
        </is>
      </c>
      <c r="B20" s="20" t="inlineStr">
        <is>
          <t>No</t>
        </is>
      </c>
    </row>
    <row r="22">
      <c r="A22" s="21" t="inlineStr">
        <is>
          <t>Notes: Household/utilities default 50%. School/tuition &amp; medical default 12% (per your agreement).</t>
        </is>
      </c>
    </row>
    <row r="23">
      <c r="A23" s="21" t="inlineStr">
        <is>
          <t>“Treat all bills as paid” is ON: tuition invoices are counted as paid; duplicate/partial receipts are not double-counted.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40" customWidth="1" min="4" max="4"/>
    <col width="13" customWidth="1" min="5" max="5"/>
    <col width="9" customWidth="1" min="6" max="6"/>
    <col width="10" customWidth="1" min="7" max="7"/>
    <col width="13" customWidth="1" min="8" max="8"/>
    <col width="34" customWidth="1" min="9" max="9"/>
    <col width="40" customWidth="1" min="10" max="10"/>
  </cols>
  <sheetData>
    <row r="1">
      <c r="A1" s="1" t="inlineStr">
        <is>
          <t>Itemized Ledger — every bill, by date</t>
        </is>
      </c>
    </row>
    <row r="3">
      <c r="A3" s="3" t="inlineStr">
        <is>
          <t>Date</t>
        </is>
      </c>
      <c r="B3" s="3" t="inlineStr">
        <is>
          <t>Vendor</t>
        </is>
      </c>
      <c r="C3" s="3" t="inlineStr">
        <is>
          <t>Category</t>
        </is>
      </c>
      <c r="D3" s="3" t="inlineStr">
        <is>
          <t>Description</t>
        </is>
      </c>
      <c r="E3" s="3" t="inlineStr">
        <is>
          <t>Amount</t>
        </is>
      </c>
      <c r="F3" s="3" t="inlineStr">
        <is>
          <t>Counted</t>
        </is>
      </c>
      <c r="G3" s="3" t="inlineStr">
        <is>
          <t>% She Owes</t>
        </is>
      </c>
      <c r="H3" s="3" t="inlineStr">
        <is>
          <t>Her Share</t>
        </is>
      </c>
      <c r="I3" s="3" t="inlineStr">
        <is>
          <t>Source File</t>
        </is>
      </c>
      <c r="J3" s="3" t="inlineStr">
        <is>
          <t>Notes</t>
        </is>
      </c>
    </row>
    <row r="4">
      <c r="A4" s="4" t="inlineStr">
        <is>
          <t>2024-08-01</t>
        </is>
      </c>
      <c r="B4" s="4" t="inlineStr">
        <is>
          <t>Assurance Financial</t>
        </is>
      </c>
      <c r="C4" s="4" t="inlineStr">
        <is>
          <t>Mortgage</t>
        </is>
      </c>
      <c r="D4" s="4" t="inlineStr">
        <is>
          <t>Home mortgage (8792 W Fairway Dr) - Assurance Financial, actual amounts from payment notices</t>
        </is>
      </c>
      <c r="E4" s="5" t="n">
        <v>3675.19</v>
      </c>
      <c r="F4" s="4" t="inlineStr">
        <is>
          <t>Yes</t>
        </is>
      </c>
      <c r="G4" s="6">
        <f>IFERROR(INDEX(Settings!$B$5:$B$18,MATCH(C4,Settings!$A$5:$A$18,0)),0)</f>
        <v/>
      </c>
      <c r="H4" s="5">
        <f>IF(F4="Yes",ROUND(E4*G4,2),0)</f>
        <v/>
      </c>
      <c r="I4" s="22" t="inlineStr">
        <is>
          <t>(from Assurance payment notices - email)</t>
        </is>
      </c>
      <c r="J4" s="22" t="inlineStr">
        <is>
          <t>mortgage (actual)</t>
        </is>
      </c>
    </row>
    <row r="5">
      <c r="A5" s="4" t="inlineStr">
        <is>
          <t>2024-08-09</t>
        </is>
      </c>
      <c r="B5" s="4" t="inlineStr">
        <is>
          <t>BR Water</t>
        </is>
      </c>
      <c r="C5" s="4" t="inlineStr">
        <is>
          <t>Utilities</t>
        </is>
      </c>
      <c r="D5" s="4" t="inlineStr">
        <is>
          <t>Water/Sewer Aug 2024 (SpeedPay payment, acct *2506)</t>
        </is>
      </c>
      <c r="E5" s="5" t="n">
        <v>281.73</v>
      </c>
      <c r="F5" s="4" t="inlineStr">
        <is>
          <t>Yes</t>
        </is>
      </c>
      <c r="G5" s="6">
        <f>IFERROR(INDEX(Settings!$B$5:$B$18,MATCH(C5,Settings!$A$5:$A$18,0)),0)</f>
        <v/>
      </c>
      <c r="H5" s="5">
        <f>IF(F5="Yes",ROUND(E5*G5,2),0)</f>
        <v/>
      </c>
      <c r="I5" s="22" t="inlineStr">
        <is>
          <t>(from Gmail sweep 2026-07-18)</t>
        </is>
      </c>
      <c r="J5" s="22" t="inlineStr">
        <is>
          <t>email-sourced</t>
        </is>
      </c>
    </row>
    <row r="6">
      <c r="A6" s="4" t="inlineStr">
        <is>
          <t>2024-08-12</t>
        </is>
      </c>
      <c r="B6" s="4" t="inlineStr">
        <is>
          <t>Atmos (Gas)</t>
        </is>
      </c>
      <c r="C6" s="4" t="inlineStr">
        <is>
          <t>Utilities</t>
        </is>
      </c>
      <c r="D6" s="4" t="inlineStr">
        <is>
          <t>from email (current charges)</t>
        </is>
      </c>
      <c r="E6" s="5" t="n">
        <v>84.2</v>
      </c>
      <c r="F6" s="4" t="inlineStr">
        <is>
          <t>Yes</t>
        </is>
      </c>
      <c r="G6" s="6">
        <f>IFERROR(INDEX(Settings!$B$5:$B$18,MATCH(C6,Settings!$A$5:$A$18,0)),0)</f>
        <v/>
      </c>
      <c r="H6" s="5">
        <f>IF(F6="Yes",ROUND(E6*G6,2),0)</f>
        <v/>
      </c>
      <c r="I6" s="22" t="inlineStr">
        <is>
          <t>(from Gmail sweep 2026-07-18)</t>
        </is>
      </c>
      <c r="J6" s="22" t="inlineStr">
        <is>
          <t>email-sourced</t>
        </is>
      </c>
    </row>
    <row r="7">
      <c r="A7" s="4" t="inlineStr">
        <is>
          <t>2024-08-22</t>
        </is>
      </c>
      <c r="B7" s="4" t="inlineStr">
        <is>
          <t>AT&amp;T Business (Pearsons Luggage)</t>
        </is>
      </c>
      <c r="C7" s="4" t="inlineStr">
        <is>
          <t>AT&amp;T Business</t>
        </is>
      </c>
      <c r="D7" s="4" t="inlineStr">
        <is>
          <t>Her portion of shared wireless plan (family bill)</t>
        </is>
      </c>
      <c r="E7" s="5" t="n">
        <v>100</v>
      </c>
      <c r="F7" s="4" t="inlineStr">
        <is>
          <t>Yes</t>
        </is>
      </c>
      <c r="G7" s="7" t="inlineStr">
        <is>
          <t>flat $100</t>
        </is>
      </c>
      <c r="H7" s="5" t="n">
        <v>100</v>
      </c>
      <c r="I7" s="22" t="inlineStr">
        <is>
          <t>(shared family wireless plan - statement available on request)</t>
        </is>
      </c>
      <c r="J7" s="22" t="inlineStr">
        <is>
          <t>email-sourced | $100/mo portion per agreement</t>
        </is>
      </c>
    </row>
    <row r="8">
      <c r="A8" s="4" t="inlineStr">
        <is>
          <t>2024-08-31</t>
        </is>
      </c>
      <c r="B8" s="4" t="inlineStr">
        <is>
          <t>AT&amp;T Internet</t>
        </is>
      </c>
      <c r="C8" s="4" t="inlineStr">
        <is>
          <t>Utilities</t>
        </is>
      </c>
      <c r="D8" s="4" t="inlineStr">
        <is>
          <t>from email</t>
        </is>
      </c>
      <c r="E8" s="5" t="n">
        <v>110.38</v>
      </c>
      <c r="F8" s="4" t="inlineStr">
        <is>
          <t>Yes</t>
        </is>
      </c>
      <c r="G8" s="6">
        <f>IFERROR(INDEX(Settings!$B$5:$B$18,MATCH(C8,Settings!$A$5:$A$18,0)),0)</f>
        <v/>
      </c>
      <c r="H8" s="5">
        <f>IF(F8="Yes",ROUND(E8*G8,2),0)</f>
        <v/>
      </c>
      <c r="I8" s="22" t="inlineStr">
        <is>
          <t>(from Gmail sweep 2026-07-18)</t>
        </is>
      </c>
      <c r="J8" s="22" t="inlineStr">
        <is>
          <t>email-sourced</t>
        </is>
      </c>
    </row>
    <row r="9">
      <c r="A9" s="4" t="inlineStr">
        <is>
          <t>2024-09-01</t>
        </is>
      </c>
      <c r="B9" s="4" t="inlineStr">
        <is>
          <t>Assurance Financial</t>
        </is>
      </c>
      <c r="C9" s="4" t="inlineStr">
        <is>
          <t>Mortgage</t>
        </is>
      </c>
      <c r="D9" s="4" t="inlineStr">
        <is>
          <t>Home mortgage (8792 W Fairway Dr) - Assurance Financial, actual amounts from payment notices</t>
        </is>
      </c>
      <c r="E9" s="5" t="n">
        <v>3675.19</v>
      </c>
      <c r="F9" s="4" t="inlineStr">
        <is>
          <t>Yes</t>
        </is>
      </c>
      <c r="G9" s="6">
        <f>IFERROR(INDEX(Settings!$B$5:$B$18,MATCH(C9,Settings!$A$5:$A$18,0)),0)</f>
        <v/>
      </c>
      <c r="H9" s="5">
        <f>IF(F9="Yes",ROUND(E9*G9,2),0)</f>
        <v/>
      </c>
      <c r="I9" s="22" t="inlineStr">
        <is>
          <t>(from Assurance payment notices - email)</t>
        </is>
      </c>
      <c r="J9" s="22" t="inlineStr">
        <is>
          <t>mortgage (actual)</t>
        </is>
      </c>
    </row>
    <row r="10">
      <c r="A10" s="4" t="inlineStr">
        <is>
          <t>2024-09-07</t>
        </is>
      </c>
      <c r="B10" s="4" t="inlineStr">
        <is>
          <t>Entergy (Electric)</t>
        </is>
      </c>
      <c r="C10" s="4" t="inlineStr">
        <is>
          <t>Utilities</t>
        </is>
      </c>
      <c r="D10" s="4" t="inlineStr">
        <is>
          <t>from email - no PDF on file</t>
        </is>
      </c>
      <c r="E10" s="5" t="n">
        <v>522.76</v>
      </c>
      <c r="F10" s="4" t="inlineStr">
        <is>
          <t>Yes</t>
        </is>
      </c>
      <c r="G10" s="6">
        <f>IFERROR(INDEX(Settings!$B$5:$B$18,MATCH(C10,Settings!$A$5:$A$18,0)),0)</f>
        <v/>
      </c>
      <c r="H10" s="5">
        <f>IF(F10="Yes",ROUND(E10*G10,2),0)</f>
        <v/>
      </c>
      <c r="I10" s="22" t="inlineStr">
        <is>
          <t>(from Gmail sweep 2026-07-18)</t>
        </is>
      </c>
      <c r="J10" s="22" t="inlineStr">
        <is>
          <t>email-sourced</t>
        </is>
      </c>
    </row>
    <row r="11">
      <c r="A11" s="4" t="inlineStr">
        <is>
          <t>2024-09-11</t>
        </is>
      </c>
      <c r="B11" s="4" t="inlineStr">
        <is>
          <t>Atmos (Gas)</t>
        </is>
      </c>
      <c r="C11" s="4" t="inlineStr">
        <is>
          <t>Utilities</t>
        </is>
      </c>
      <c r="D11" s="4" t="inlineStr">
        <is>
          <t>from email (current charges)</t>
        </is>
      </c>
      <c r="E11" s="5" t="n">
        <v>36.94</v>
      </c>
      <c r="F11" s="4" t="inlineStr">
        <is>
          <t>Yes</t>
        </is>
      </c>
      <c r="G11" s="6">
        <f>IFERROR(INDEX(Settings!$B$5:$B$18,MATCH(C11,Settings!$A$5:$A$18,0)),0)</f>
        <v/>
      </c>
      <c r="H11" s="5">
        <f>IF(F11="Yes",ROUND(E11*G11,2),0)</f>
        <v/>
      </c>
      <c r="I11" s="22" t="inlineStr">
        <is>
          <t>(from Gmail sweep 2026-07-18)</t>
        </is>
      </c>
      <c r="J11" s="22" t="inlineStr">
        <is>
          <t>email-sourced</t>
        </is>
      </c>
    </row>
    <row r="12">
      <c r="A12" s="4" t="inlineStr">
        <is>
          <t>2024-09-16</t>
        </is>
      </c>
      <c r="B12" s="4" t="inlineStr">
        <is>
          <t>St Luke's School (FACTS)</t>
        </is>
      </c>
      <c r="C12" s="4" t="inlineStr">
        <is>
          <t>School/Tuition</t>
        </is>
      </c>
      <c r="D12" s="4" t="inlineStr">
        <is>
          <t>Class trips 2024-25 (FACTS conf, MC 6499)</t>
        </is>
      </c>
      <c r="E12" s="5" t="n">
        <v>200</v>
      </c>
      <c r="F12" s="4" t="inlineStr">
        <is>
          <t>Yes</t>
        </is>
      </c>
      <c r="G12" s="6">
        <f>IFERROR(INDEX(Settings!$B$5:$B$18,MATCH(C12,Settings!$A$5:$A$18,0)),0)</f>
        <v/>
      </c>
      <c r="H12" s="5">
        <f>IF(F12="Yes",ROUND(E12*G12,2),0)</f>
        <v/>
      </c>
      <c r="I12" s="22" t="inlineStr">
        <is>
          <t>(from Gmail sweep 2026-07-18)</t>
        </is>
      </c>
      <c r="J12" s="22" t="inlineStr">
        <is>
          <t>email-sourced</t>
        </is>
      </c>
    </row>
    <row r="13">
      <c r="A13" s="4" t="inlineStr">
        <is>
          <t>2024-09-18</t>
        </is>
      </c>
      <c r="B13" s="4" t="inlineStr">
        <is>
          <t>Pool (Fernando)</t>
        </is>
      </c>
      <c r="C13" s="4" t="inlineStr">
        <is>
          <t>Pool</t>
        </is>
      </c>
      <c r="D13" s="4" t="inlineStr">
        <is>
          <t>Pool service Aug 2024, inv#2119 (paid by Venmo 9/18/24; predates James-pool series)</t>
        </is>
      </c>
      <c r="E13" s="5" t="n">
        <v>356</v>
      </c>
      <c r="F13" s="4" t="inlineStr">
        <is>
          <t>Yes</t>
        </is>
      </c>
      <c r="G13" s="6">
        <f>IFERROR(INDEX(Settings!$B$5:$B$18,MATCH(C13,Settings!$A$5:$A$18,0)),0)</f>
        <v/>
      </c>
      <c r="H13" s="5">
        <f>IF(F13="Yes",ROUND(E13*G13,2),0)</f>
        <v/>
      </c>
      <c r="I13" s="22" t="inlineStr">
        <is>
          <t>(from Gmail sweep 2026-07-18)</t>
        </is>
      </c>
      <c r="J13" s="22" t="inlineStr">
        <is>
          <t>email-sourced</t>
        </is>
      </c>
    </row>
    <row r="14">
      <c r="A14" s="4" t="inlineStr">
        <is>
          <t>2024-09-22</t>
        </is>
      </c>
      <c r="B14" s="4" t="inlineStr">
        <is>
          <t>AT&amp;T Business (Pearsons Luggage)</t>
        </is>
      </c>
      <c r="C14" s="4" t="inlineStr">
        <is>
          <t>AT&amp;T Business</t>
        </is>
      </c>
      <c r="D14" s="4" t="inlineStr">
        <is>
          <t>Her portion of shared wireless plan (family bill)</t>
        </is>
      </c>
      <c r="E14" s="5" t="n">
        <v>100</v>
      </c>
      <c r="F14" s="4" t="inlineStr">
        <is>
          <t>Yes</t>
        </is>
      </c>
      <c r="G14" s="7" t="inlineStr">
        <is>
          <t>flat $100</t>
        </is>
      </c>
      <c r="H14" s="5" t="n">
        <v>100</v>
      </c>
      <c r="I14" s="22" t="inlineStr">
        <is>
          <t>(shared family wireless plan - statement available on request)</t>
        </is>
      </c>
      <c r="J14" s="22" t="inlineStr">
        <is>
          <t>email-sourced | $100/mo portion per agreement</t>
        </is>
      </c>
    </row>
    <row r="15">
      <c r="A15" s="4" t="inlineStr">
        <is>
          <t>2024-09-30</t>
        </is>
      </c>
      <c r="B15" s="4" t="inlineStr">
        <is>
          <t>AT&amp;T Internet</t>
        </is>
      </c>
      <c r="C15" s="4" t="inlineStr">
        <is>
          <t>Utilities</t>
        </is>
      </c>
      <c r="D15" s="4" t="inlineStr">
        <is>
          <t>from email</t>
        </is>
      </c>
      <c r="E15" s="5" t="n">
        <v>110.38</v>
      </c>
      <c r="F15" s="4" t="inlineStr">
        <is>
          <t>Yes</t>
        </is>
      </c>
      <c r="G15" s="6">
        <f>IFERROR(INDEX(Settings!$B$5:$B$18,MATCH(C15,Settings!$A$5:$A$18,0)),0)</f>
        <v/>
      </c>
      <c r="H15" s="5">
        <f>IF(F15="Yes",ROUND(E15*G15,2),0)</f>
        <v/>
      </c>
      <c r="I15" s="22" t="inlineStr">
        <is>
          <t>(from Gmail sweep 2026-07-18)</t>
        </is>
      </c>
      <c r="J15" s="22" t="inlineStr">
        <is>
          <t>email-sourced</t>
        </is>
      </c>
    </row>
    <row r="16">
      <c r="A16" s="4" t="inlineStr">
        <is>
          <t>2024-10-01</t>
        </is>
      </c>
      <c r="B16" s="4" t="inlineStr">
        <is>
          <t>Assurance Financial</t>
        </is>
      </c>
      <c r="C16" s="4" t="inlineStr">
        <is>
          <t>Mortgage</t>
        </is>
      </c>
      <c r="D16" s="4" t="inlineStr">
        <is>
          <t>Home mortgage (8792 W Fairway Dr) - Assurance Financial, actual amounts from payment notices</t>
        </is>
      </c>
      <c r="E16" s="5" t="n">
        <v>3675.19</v>
      </c>
      <c r="F16" s="4" t="inlineStr">
        <is>
          <t>Yes</t>
        </is>
      </c>
      <c r="G16" s="6">
        <f>IFERROR(INDEX(Settings!$B$5:$B$18,MATCH(C16,Settings!$A$5:$A$18,0)),0)</f>
        <v/>
      </c>
      <c r="H16" s="5">
        <f>IF(F16="Yes",ROUND(E16*G16,2),0)</f>
        <v/>
      </c>
      <c r="I16" s="22" t="inlineStr">
        <is>
          <t>(from Assurance payment notices - email)</t>
        </is>
      </c>
      <c r="J16" s="22" t="inlineStr">
        <is>
          <t>mortgage (actual)</t>
        </is>
      </c>
    </row>
    <row r="17">
      <c r="A17" s="4" t="inlineStr">
        <is>
          <t>2024-10-04</t>
        </is>
      </c>
      <c r="B17" s="4" t="inlineStr">
        <is>
          <t>Pool (Fernando)</t>
        </is>
      </c>
      <c r="C17" s="4" t="inlineStr">
        <is>
          <t>Pool</t>
        </is>
      </c>
      <c r="D17" s="4" t="inlineStr">
        <is>
          <t>inv#2178 from email</t>
        </is>
      </c>
      <c r="E17" s="5" t="n">
        <v>443</v>
      </c>
      <c r="F17" s="4" t="inlineStr">
        <is>
          <t>Yes</t>
        </is>
      </c>
      <c r="G17" s="6">
        <f>IFERROR(INDEX(Settings!$B$5:$B$18,MATCH(C17,Settings!$A$5:$A$18,0)),0)</f>
        <v/>
      </c>
      <c r="H17" s="5">
        <f>IF(F17="Yes",ROUND(E17*G17,2),0)</f>
        <v/>
      </c>
      <c r="I17" s="22" t="inlineStr">
        <is>
          <t>(from Gmail sweep 2026-07-18)</t>
        </is>
      </c>
      <c r="J17" s="22" t="inlineStr">
        <is>
          <t>email-sourced</t>
        </is>
      </c>
    </row>
    <row r="18">
      <c r="A18" s="4" t="inlineStr">
        <is>
          <t>2024-10-06</t>
        </is>
      </c>
      <c r="B18" s="4" t="inlineStr">
        <is>
          <t>St Luke's School (FACTS)</t>
        </is>
      </c>
      <c r="C18" s="4" t="inlineStr">
        <is>
          <t>School/Tuition</t>
        </is>
      </c>
      <c r="D18" s="4" t="inlineStr">
        <is>
          <t>Parents' Guild merchandise (FACTS conf)</t>
        </is>
      </c>
      <c r="E18" s="5" t="n">
        <v>18</v>
      </c>
      <c r="F18" s="4" t="inlineStr">
        <is>
          <t>Yes</t>
        </is>
      </c>
      <c r="G18" s="6">
        <f>IFERROR(INDEX(Settings!$B$5:$B$18,MATCH(C18,Settings!$A$5:$A$18,0)),0)</f>
        <v/>
      </c>
      <c r="H18" s="5">
        <f>IF(F18="Yes",ROUND(E18*G18,2),0)</f>
        <v/>
      </c>
      <c r="I18" s="22" t="inlineStr">
        <is>
          <t>(from Gmail sweep 2026-07-18)</t>
        </is>
      </c>
      <c r="J18" s="22" t="inlineStr">
        <is>
          <t>email-sourced</t>
        </is>
      </c>
    </row>
    <row r="19">
      <c r="A19" s="4" t="inlineStr">
        <is>
          <t>2024-10-10</t>
        </is>
      </c>
      <c r="B19" s="4" t="inlineStr">
        <is>
          <t>Atmos (Gas)</t>
        </is>
      </c>
      <c r="C19" s="4" t="inlineStr">
        <is>
          <t>Utilities</t>
        </is>
      </c>
      <c r="D19" s="4" t="inlineStr">
        <is>
          <t>from email (current charges)</t>
        </is>
      </c>
      <c r="E19" s="5" t="n">
        <v>59.81</v>
      </c>
      <c r="F19" s="4" t="inlineStr">
        <is>
          <t>Yes</t>
        </is>
      </c>
      <c r="G19" s="6">
        <f>IFERROR(INDEX(Settings!$B$5:$B$18,MATCH(C19,Settings!$A$5:$A$18,0)),0)</f>
        <v/>
      </c>
      <c r="H19" s="5">
        <f>IF(F19="Yes",ROUND(E19*G19,2),0)</f>
        <v/>
      </c>
      <c r="I19" s="22" t="inlineStr">
        <is>
          <t>(from Gmail sweep 2026-07-18)</t>
        </is>
      </c>
      <c r="J19" s="22" t="inlineStr">
        <is>
          <t>email-sourced</t>
        </is>
      </c>
    </row>
    <row r="20">
      <c r="A20" s="4" t="inlineStr">
        <is>
          <t>2024-10-14</t>
        </is>
      </c>
      <c r="B20" s="4" t="inlineStr">
        <is>
          <t>St Luke's School (FACTS)</t>
        </is>
      </c>
      <c r="C20" s="4" t="inlineStr">
        <is>
          <t>School/Tuition</t>
        </is>
      </c>
      <c r="D20" s="4" t="inlineStr">
        <is>
          <t>Class trips 2024-25 (FACTS conf, Visa 8056)</t>
        </is>
      </c>
      <c r="E20" s="5" t="n">
        <v>200</v>
      </c>
      <c r="F20" s="4" t="inlineStr">
        <is>
          <t>Yes</t>
        </is>
      </c>
      <c r="G20" s="6">
        <f>IFERROR(INDEX(Settings!$B$5:$B$18,MATCH(C20,Settings!$A$5:$A$18,0)),0)</f>
        <v/>
      </c>
      <c r="H20" s="5">
        <f>IF(F20="Yes",ROUND(E20*G20,2),0)</f>
        <v/>
      </c>
      <c r="I20" s="22" t="inlineStr">
        <is>
          <t>(from Gmail sweep 2026-07-18)</t>
        </is>
      </c>
      <c r="J20" s="22" t="inlineStr">
        <is>
          <t>email-sourced</t>
        </is>
      </c>
    </row>
    <row r="21">
      <c r="A21" s="4" t="inlineStr">
        <is>
          <t>2024-10-22</t>
        </is>
      </c>
      <c r="B21" s="4" t="inlineStr">
        <is>
          <t>AT&amp;T Business (Pearsons Luggage)</t>
        </is>
      </c>
      <c r="C21" s="4" t="inlineStr">
        <is>
          <t>AT&amp;T Business</t>
        </is>
      </c>
      <c r="D21" s="4" t="inlineStr">
        <is>
          <t>Her portion of shared wireless plan (family bill)</t>
        </is>
      </c>
      <c r="E21" s="5" t="n">
        <v>100</v>
      </c>
      <c r="F21" s="4" t="inlineStr">
        <is>
          <t>Yes</t>
        </is>
      </c>
      <c r="G21" s="7" t="inlineStr">
        <is>
          <t>flat $100</t>
        </is>
      </c>
      <c r="H21" s="5" t="n">
        <v>100</v>
      </c>
      <c r="I21" s="22" t="inlineStr">
        <is>
          <t>(shared family wireless plan - statement available on request)</t>
        </is>
      </c>
      <c r="J21" s="22" t="inlineStr">
        <is>
          <t>email-sourced | $100/mo portion per agreement</t>
        </is>
      </c>
    </row>
    <row r="22">
      <c r="A22" s="4" t="inlineStr">
        <is>
          <t>2024-10-30</t>
        </is>
      </c>
      <c r="B22" s="4" t="inlineStr">
        <is>
          <t>AT&amp;T Internet</t>
        </is>
      </c>
      <c r="C22" s="4" t="inlineStr">
        <is>
          <t>Utilities</t>
        </is>
      </c>
      <c r="D22" s="4" t="inlineStr">
        <is>
          <t>from email</t>
        </is>
      </c>
      <c r="E22" s="5" t="n">
        <v>110.38</v>
      </c>
      <c r="F22" s="4" t="inlineStr">
        <is>
          <t>Yes</t>
        </is>
      </c>
      <c r="G22" s="6">
        <f>IFERROR(INDEX(Settings!$B$5:$B$18,MATCH(C22,Settings!$A$5:$A$18,0)),0)</f>
        <v/>
      </c>
      <c r="H22" s="5">
        <f>IF(F22="Yes",ROUND(E22*G22,2),0)</f>
        <v/>
      </c>
      <c r="I22" s="22" t="inlineStr">
        <is>
          <t>(from Gmail sweep 2026-07-18)</t>
        </is>
      </c>
      <c r="J22" s="22" t="inlineStr">
        <is>
          <t>email-sourced</t>
        </is>
      </c>
    </row>
    <row r="23">
      <c r="A23" s="4" t="inlineStr">
        <is>
          <t>2024-11-01</t>
        </is>
      </c>
      <c r="B23" s="4" t="inlineStr">
        <is>
          <t>Assurance Financial</t>
        </is>
      </c>
      <c r="C23" s="4" t="inlineStr">
        <is>
          <t>Mortgage</t>
        </is>
      </c>
      <c r="D23" s="4" t="inlineStr">
        <is>
          <t>Home mortgage (8792 W Fairway Dr) - Assurance Financial, actual amounts from payment notices</t>
        </is>
      </c>
      <c r="E23" s="5" t="n">
        <v>3675.19</v>
      </c>
      <c r="F23" s="4" t="inlineStr">
        <is>
          <t>Yes</t>
        </is>
      </c>
      <c r="G23" s="6">
        <f>IFERROR(INDEX(Settings!$B$5:$B$18,MATCH(C23,Settings!$A$5:$A$18,0)),0)</f>
        <v/>
      </c>
      <c r="H23" s="5">
        <f>IF(F23="Yes",ROUND(E23*G23,2),0)</f>
        <v/>
      </c>
      <c r="I23" s="22" t="inlineStr">
        <is>
          <t>(from Assurance payment notices - email)</t>
        </is>
      </c>
      <c r="J23" s="22" t="inlineStr">
        <is>
          <t>mortgage (actual)</t>
        </is>
      </c>
    </row>
    <row r="24">
      <c r="A24" s="4" t="inlineStr">
        <is>
          <t>2024-11-04</t>
        </is>
      </c>
      <c r="B24" s="4" t="inlineStr">
        <is>
          <t>Pool (Fernando)</t>
        </is>
      </c>
      <c r="C24" s="4" t="inlineStr">
        <is>
          <t>Pool</t>
        </is>
      </c>
      <c r="D24" s="4" t="inlineStr">
        <is>
          <t>inv#2234 from email</t>
        </is>
      </c>
      <c r="E24" s="5" t="n">
        <v>356</v>
      </c>
      <c r="F24" s="4" t="inlineStr">
        <is>
          <t>Yes</t>
        </is>
      </c>
      <c r="G24" s="6">
        <f>IFERROR(INDEX(Settings!$B$5:$B$18,MATCH(C24,Settings!$A$5:$A$18,0)),0)</f>
        <v/>
      </c>
      <c r="H24" s="5">
        <f>IF(F24="Yes",ROUND(E24*G24,2),0)</f>
        <v/>
      </c>
      <c r="I24" s="22" t="inlineStr">
        <is>
          <t>(from Gmail sweep 2026-07-18)</t>
        </is>
      </c>
      <c r="J24" s="22" t="inlineStr">
        <is>
          <t>email-sourced</t>
        </is>
      </c>
    </row>
    <row r="25">
      <c r="A25" s="4" t="inlineStr">
        <is>
          <t>2024-11-09</t>
        </is>
      </c>
      <c r="B25" s="4" t="inlineStr">
        <is>
          <t>AT&amp;T Internet</t>
        </is>
      </c>
      <c r="C25" s="4" t="inlineStr">
        <is>
          <t>Utilities</t>
        </is>
      </c>
      <c r="D25" s="4" t="inlineStr">
        <is>
          <t>Home internet acct 310682407 (original home acct per Ned records; predecessor of 322444580)</t>
        </is>
      </c>
      <c r="E25" s="5" t="n">
        <v>80.92</v>
      </c>
      <c r="F25" s="4" t="inlineStr">
        <is>
          <t>Yes</t>
        </is>
      </c>
      <c r="G25" s="6">
        <f>IFERROR(INDEX(Settings!$B$5:$B$18,MATCH(C25,Settings!$A$5:$A$18,0)),0)</f>
        <v/>
      </c>
      <c r="H25" s="5">
        <f>IF(F25="Yes",ROUND(E25*G25,2),0)</f>
        <v/>
      </c>
      <c r="I25" s="22" t="inlineStr">
        <is>
          <t>(from Gmail sweep 2026-07-18)</t>
        </is>
      </c>
      <c r="J25" s="22" t="inlineStr">
        <is>
          <t>email-sourced</t>
        </is>
      </c>
    </row>
    <row r="26">
      <c r="A26" s="4" t="inlineStr">
        <is>
          <t>2024-11-11</t>
        </is>
      </c>
      <c r="B26" s="4" t="inlineStr">
        <is>
          <t>Atmos (Gas)</t>
        </is>
      </c>
      <c r="C26" s="4" t="inlineStr">
        <is>
          <t>Utilities</t>
        </is>
      </c>
      <c r="D26" s="4" t="inlineStr">
        <is>
          <t>from email (current charges)</t>
        </is>
      </c>
      <c r="E26" s="5" t="n">
        <v>53.16</v>
      </c>
      <c r="F26" s="4" t="inlineStr">
        <is>
          <t>Yes</t>
        </is>
      </c>
      <c r="G26" s="6">
        <f>IFERROR(INDEX(Settings!$B$5:$B$18,MATCH(C26,Settings!$A$5:$A$18,0)),0)</f>
        <v/>
      </c>
      <c r="H26" s="5">
        <f>IF(F26="Yes",ROUND(E26*G26,2),0)</f>
        <v/>
      </c>
      <c r="I26" s="22" t="inlineStr">
        <is>
          <t>(from Gmail sweep 2026-07-18)</t>
        </is>
      </c>
      <c r="J26" s="22" t="inlineStr">
        <is>
          <t>email-sourced</t>
        </is>
      </c>
    </row>
    <row r="27">
      <c r="A27" s="4" t="inlineStr">
        <is>
          <t>2024-11-22</t>
        </is>
      </c>
      <c r="B27" s="4" t="inlineStr">
        <is>
          <t>AT&amp;T Business (Pearsons Luggage)</t>
        </is>
      </c>
      <c r="C27" s="4" t="inlineStr">
        <is>
          <t>AT&amp;T Business</t>
        </is>
      </c>
      <c r="D27" s="4" t="inlineStr">
        <is>
          <t>Her portion of shared wireless plan (family bill)</t>
        </is>
      </c>
      <c r="E27" s="5" t="n">
        <v>100</v>
      </c>
      <c r="F27" s="4" t="inlineStr">
        <is>
          <t>Yes</t>
        </is>
      </c>
      <c r="G27" s="7" t="inlineStr">
        <is>
          <t>flat $100</t>
        </is>
      </c>
      <c r="H27" s="5" t="n">
        <v>100</v>
      </c>
      <c r="I27" s="22" t="inlineStr">
        <is>
          <t>(shared family wireless plan - statement available on request)</t>
        </is>
      </c>
      <c r="J27" s="22" t="inlineStr">
        <is>
          <t>email-sourced | $100/mo portion per agreement</t>
        </is>
      </c>
    </row>
    <row r="28">
      <c r="A28" s="4" t="inlineStr">
        <is>
          <t>2024-12-01</t>
        </is>
      </c>
      <c r="B28" s="4" t="inlineStr">
        <is>
          <t>Assurance Financial</t>
        </is>
      </c>
      <c r="C28" s="4" t="inlineStr">
        <is>
          <t>Mortgage</t>
        </is>
      </c>
      <c r="D28" s="4" t="inlineStr">
        <is>
          <t>Home mortgage (8792 W Fairway Dr) - Assurance Financial, actual amounts from payment notices</t>
        </is>
      </c>
      <c r="E28" s="5" t="n">
        <v>3675.19</v>
      </c>
      <c r="F28" s="4" t="inlineStr">
        <is>
          <t>Yes</t>
        </is>
      </c>
      <c r="G28" s="6">
        <f>IFERROR(INDEX(Settings!$B$5:$B$18,MATCH(C28,Settings!$A$5:$A$18,0)),0)</f>
        <v/>
      </c>
      <c r="H28" s="5">
        <f>IF(F28="Yes",ROUND(E28*G28,2),0)</f>
        <v/>
      </c>
      <c r="I28" s="22" t="inlineStr">
        <is>
          <t>(from Assurance payment notices - email)</t>
        </is>
      </c>
      <c r="J28" s="22" t="inlineStr">
        <is>
          <t>mortgage (actual)</t>
        </is>
      </c>
    </row>
    <row r="29">
      <c r="A29" s="4" t="inlineStr">
        <is>
          <t>2024-12-01</t>
        </is>
      </c>
      <c r="B29" s="4" t="inlineStr">
        <is>
          <t>AT&amp;T Internet</t>
        </is>
      </c>
      <c r="C29" s="4" t="inlineStr">
        <is>
          <t>Utilities</t>
        </is>
      </c>
      <c r="D29" s="4" t="inlineStr">
        <is>
          <t>from email</t>
        </is>
      </c>
      <c r="E29" s="5" t="n">
        <v>115.38</v>
      </c>
      <c r="F29" s="4" t="inlineStr">
        <is>
          <t>Yes</t>
        </is>
      </c>
      <c r="G29" s="6">
        <f>IFERROR(INDEX(Settings!$B$5:$B$18,MATCH(C29,Settings!$A$5:$A$18,0)),0)</f>
        <v/>
      </c>
      <c r="H29" s="5">
        <f>IF(F29="Yes",ROUND(E29*G29,2),0)</f>
        <v/>
      </c>
      <c r="I29" s="22" t="inlineStr">
        <is>
          <t>(from Gmail sweep 2026-07-18)</t>
        </is>
      </c>
      <c r="J29" s="22" t="inlineStr">
        <is>
          <t>email-sourced</t>
        </is>
      </c>
    </row>
    <row r="30">
      <c r="A30" s="4" t="inlineStr">
        <is>
          <t>2024-12-04</t>
        </is>
      </c>
      <c r="B30" s="4" t="inlineStr">
        <is>
          <t>Pool (Fernando)</t>
        </is>
      </c>
      <c r="C30" s="4" t="inlineStr">
        <is>
          <t>Pool</t>
        </is>
      </c>
      <c r="D30" s="4" t="inlineStr">
        <is>
          <t>inv#2298 from email</t>
        </is>
      </c>
      <c r="E30" s="5" t="n">
        <v>348</v>
      </c>
      <c r="F30" s="4" t="inlineStr">
        <is>
          <t>Yes</t>
        </is>
      </c>
      <c r="G30" s="6">
        <f>IFERROR(INDEX(Settings!$B$5:$B$18,MATCH(C30,Settings!$A$5:$A$18,0)),0)</f>
        <v/>
      </c>
      <c r="H30" s="5">
        <f>IF(F30="Yes",ROUND(E30*G30,2),0)</f>
        <v/>
      </c>
      <c r="I30" s="22" t="inlineStr">
        <is>
          <t>(from Gmail sweep 2026-07-18)</t>
        </is>
      </c>
      <c r="J30" s="22" t="inlineStr">
        <is>
          <t>email-sourced</t>
        </is>
      </c>
    </row>
    <row r="31">
      <c r="A31" s="4" t="inlineStr">
        <is>
          <t>2024-12-06</t>
        </is>
      </c>
      <c r="B31" s="4" t="inlineStr">
        <is>
          <t>Entergy (Electric)</t>
        </is>
      </c>
      <c r="C31" s="4" t="inlineStr">
        <is>
          <t>Utilities</t>
        </is>
      </c>
      <c r="D31" s="4" t="inlineStr">
        <is>
          <t>from email - no PDF on file</t>
        </is>
      </c>
      <c r="E31" s="5" t="n">
        <v>506.49</v>
      </c>
      <c r="F31" s="4" t="inlineStr">
        <is>
          <t>Yes</t>
        </is>
      </c>
      <c r="G31" s="6">
        <f>IFERROR(INDEX(Settings!$B$5:$B$18,MATCH(C31,Settings!$A$5:$A$18,0)),0)</f>
        <v/>
      </c>
      <c r="H31" s="5">
        <f>IF(F31="Yes",ROUND(E31*G31,2),0)</f>
        <v/>
      </c>
      <c r="I31" s="22" t="inlineStr">
        <is>
          <t>(from Gmail sweep 2026-07-18)</t>
        </is>
      </c>
      <c r="J31" s="22" t="inlineStr">
        <is>
          <t>email-sourced</t>
        </is>
      </c>
    </row>
    <row r="32">
      <c r="A32" s="4" t="inlineStr">
        <is>
          <t>2024-12-11</t>
        </is>
      </c>
      <c r="B32" s="4" t="inlineStr">
        <is>
          <t>Atmos (Gas)</t>
        </is>
      </c>
      <c r="C32" s="4" t="inlineStr">
        <is>
          <t>Utilities</t>
        </is>
      </c>
      <c r="D32" s="4" t="inlineStr">
        <is>
          <t>from email (current charges)</t>
        </is>
      </c>
      <c r="E32" s="5" t="n">
        <v>63.83</v>
      </c>
      <c r="F32" s="4" t="inlineStr">
        <is>
          <t>Yes</t>
        </is>
      </c>
      <c r="G32" s="6">
        <f>IFERROR(INDEX(Settings!$B$5:$B$18,MATCH(C32,Settings!$A$5:$A$18,0)),0)</f>
        <v/>
      </c>
      <c r="H32" s="5">
        <f>IF(F32="Yes",ROUND(E32*G32,2),0)</f>
        <v/>
      </c>
      <c r="I32" s="22" t="inlineStr">
        <is>
          <t>(from Gmail sweep 2026-07-18)</t>
        </is>
      </c>
      <c r="J32" s="22" t="inlineStr">
        <is>
          <t>email-sourced</t>
        </is>
      </c>
    </row>
    <row r="33">
      <c r="A33" s="4" t="inlineStr">
        <is>
          <t>2024-12-22</t>
        </is>
      </c>
      <c r="B33" s="4" t="inlineStr">
        <is>
          <t>AT&amp;T Business (Pearsons Luggage)</t>
        </is>
      </c>
      <c r="C33" s="4" t="inlineStr">
        <is>
          <t>AT&amp;T Business</t>
        </is>
      </c>
      <c r="D33" s="4" t="inlineStr">
        <is>
          <t>AT&amp;T business 2024-12 — Lindsey's $100 portion — her portion of shared wireless plan</t>
        </is>
      </c>
      <c r="E33" s="5" t="n">
        <v>100</v>
      </c>
      <c r="F33" s="4" t="inlineStr">
        <is>
          <t>Yes</t>
        </is>
      </c>
      <c r="G33" s="7" t="inlineStr">
        <is>
          <t>flat $100</t>
        </is>
      </c>
      <c r="H33" s="5" t="n">
        <v>100</v>
      </c>
      <c r="I33" s="22" t="inlineStr">
        <is>
          <t>(manual entry - config.json)</t>
        </is>
      </c>
      <c r="J33" s="22" t="inlineStr">
        <is>
          <t>manual</t>
        </is>
      </c>
    </row>
    <row r="34">
      <c r="A34" s="4" t="inlineStr">
        <is>
          <t>2024-12-30</t>
        </is>
      </c>
      <c r="B34" s="4" t="inlineStr">
        <is>
          <t>AT&amp;T Internet</t>
        </is>
      </c>
      <c r="C34" s="4" t="inlineStr">
        <is>
          <t>Utilities</t>
        </is>
      </c>
      <c r="D34" s="4" t="inlineStr">
        <is>
          <t>from email</t>
        </is>
      </c>
      <c r="E34" s="5" t="n">
        <v>115.38</v>
      </c>
      <c r="F34" s="4" t="inlineStr">
        <is>
          <t>Yes</t>
        </is>
      </c>
      <c r="G34" s="6">
        <f>IFERROR(INDEX(Settings!$B$5:$B$18,MATCH(C34,Settings!$A$5:$A$18,0)),0)</f>
        <v/>
      </c>
      <c r="H34" s="5">
        <f>IF(F34="Yes",ROUND(E34*G34,2),0)</f>
        <v/>
      </c>
      <c r="I34" s="22" t="inlineStr">
        <is>
          <t>(from Gmail sweep 2026-07-18)</t>
        </is>
      </c>
      <c r="J34" s="22" t="inlineStr">
        <is>
          <t>email-sourced</t>
        </is>
      </c>
    </row>
    <row r="35">
      <c r="A35" s="4" t="inlineStr">
        <is>
          <t>2025-01-01</t>
        </is>
      </c>
      <c r="B35" s="4" t="inlineStr">
        <is>
          <t>Assurance Financial</t>
        </is>
      </c>
      <c r="C35" s="4" t="inlineStr">
        <is>
          <t>Mortgage</t>
        </is>
      </c>
      <c r="D35" s="4" t="inlineStr">
        <is>
          <t>Home mortgage (8792 W Fairway Dr) - Assurance Financial, actual amounts from payment notices</t>
        </is>
      </c>
      <c r="E35" s="5" t="n">
        <v>3675.19</v>
      </c>
      <c r="F35" s="4" t="inlineStr">
        <is>
          <t>Yes</t>
        </is>
      </c>
      <c r="G35" s="6">
        <f>IFERROR(INDEX(Settings!$B$5:$B$18,MATCH(C35,Settings!$A$5:$A$18,0)),0)</f>
        <v/>
      </c>
      <c r="H35" s="5">
        <f>IF(F35="Yes",ROUND(E35*G35,2),0)</f>
        <v/>
      </c>
      <c r="I35" s="22" t="inlineStr">
        <is>
          <t>(from Assurance payment notices - email)</t>
        </is>
      </c>
      <c r="J35" s="22" t="inlineStr">
        <is>
          <t>mortgage (actual)</t>
        </is>
      </c>
    </row>
    <row r="36">
      <c r="A36" s="4" t="inlineStr">
        <is>
          <t>2025-01-07</t>
        </is>
      </c>
      <c r="B36" s="4" t="inlineStr">
        <is>
          <t>Assurance Financial</t>
        </is>
      </c>
      <c r="C36" s="4" t="inlineStr">
        <is>
          <t>Mortgage</t>
        </is>
      </c>
      <c r="D36" s="4" t="inlineStr">
        <is>
          <t>Returned-check late charges $205 + NSF fee $20 (Notice 1/7/25, addressed to both Gerald &amp; Lindsey Pearson; $3,675.19 check returned)</t>
        </is>
      </c>
      <c r="E36" s="5" t="n">
        <v>225</v>
      </c>
      <c r="F36" s="4" t="inlineStr">
        <is>
          <t>Yes</t>
        </is>
      </c>
      <c r="G36" s="6">
        <f>IFERROR(INDEX(Settings!$B$5:$B$18,MATCH(C36,Settings!$A$5:$A$18,0)),0)</f>
        <v/>
      </c>
      <c r="H36" s="5">
        <f>IF(F36="Yes",ROUND(E36*G36,2),0)</f>
        <v/>
      </c>
      <c r="I36" s="22" t="inlineStr">
        <is>
          <t>(manual entry - config.json)</t>
        </is>
      </c>
      <c r="J36" s="22" t="inlineStr">
        <is>
          <t>manual</t>
        </is>
      </c>
    </row>
    <row r="37">
      <c r="A37" s="4" t="inlineStr">
        <is>
          <t>2025-01-07</t>
        </is>
      </c>
      <c r="B37" s="4" t="inlineStr">
        <is>
          <t>Pool (Fernando)</t>
        </is>
      </c>
      <c r="C37" s="4" t="inlineStr">
        <is>
          <t>Pool</t>
        </is>
      </c>
      <c r="D37" s="4" t="inlineStr">
        <is>
          <t>inv#2375 from email</t>
        </is>
      </c>
      <c r="E37" s="5" t="n">
        <v>429</v>
      </c>
      <c r="F37" s="4" t="inlineStr">
        <is>
          <t>Yes</t>
        </is>
      </c>
      <c r="G37" s="6">
        <f>IFERROR(INDEX(Settings!$B$5:$B$18,MATCH(C37,Settings!$A$5:$A$18,0)),0)</f>
        <v/>
      </c>
      <c r="H37" s="5">
        <f>IF(F37="Yes",ROUND(E37*G37,2),0)</f>
        <v/>
      </c>
      <c r="I37" s="22" t="inlineStr">
        <is>
          <t>(from Gmail sweep 2026-07-18)</t>
        </is>
      </c>
      <c r="J37" s="22" t="inlineStr">
        <is>
          <t>email-sourced</t>
        </is>
      </c>
    </row>
    <row r="38">
      <c r="A38" s="4" t="inlineStr">
        <is>
          <t>2025-01-08</t>
        </is>
      </c>
      <c r="B38" s="4" t="inlineStr">
        <is>
          <t>BR Water</t>
        </is>
      </c>
      <c r="C38" s="4" t="inlineStr">
        <is>
          <t>Utilities</t>
        </is>
      </c>
      <c r="D38" s="4" t="inlineStr">
        <is>
          <t>Water/Sewer Sep-Dec 2024 balance (catch-up payment 1/8/25, acct *2506)</t>
        </is>
      </c>
      <c r="E38" s="5" t="n">
        <v>361.21</v>
      </c>
      <c r="F38" s="4" t="inlineStr">
        <is>
          <t>Yes</t>
        </is>
      </c>
      <c r="G38" s="6">
        <f>IFERROR(INDEX(Settings!$B$5:$B$18,MATCH(C38,Settings!$A$5:$A$18,0)),0)</f>
        <v/>
      </c>
      <c r="H38" s="5">
        <f>IF(F38="Yes",ROUND(E38*G38,2),0)</f>
        <v/>
      </c>
      <c r="I38" s="22" t="inlineStr">
        <is>
          <t>(from Gmail sweep 2026-07-18)</t>
        </is>
      </c>
      <c r="J38" s="22" t="inlineStr">
        <is>
          <t>email-sourced</t>
        </is>
      </c>
    </row>
    <row r="39">
      <c r="A39" s="4" t="inlineStr">
        <is>
          <t>2025-01-08</t>
        </is>
      </c>
      <c r="B39" s="4" t="inlineStr">
        <is>
          <t>BR Water</t>
        </is>
      </c>
      <c r="C39" s="4" t="inlineStr">
        <is>
          <t>Utilities</t>
        </is>
      </c>
      <c r="D39" s="4" t="inlineStr">
        <is>
          <t>Irrigation late-2024 balance (catch-up payment 1/8/25, acct *4303)</t>
        </is>
      </c>
      <c r="E39" s="5" t="n">
        <v>21.87</v>
      </c>
      <c r="F39" s="4" t="inlineStr">
        <is>
          <t>Yes</t>
        </is>
      </c>
      <c r="G39" s="6">
        <f>IFERROR(INDEX(Settings!$B$5:$B$18,MATCH(C39,Settings!$A$5:$A$18,0)),0)</f>
        <v/>
      </c>
      <c r="H39" s="5">
        <f>IF(F39="Yes",ROUND(E39*G39,2),0)</f>
        <v/>
      </c>
      <c r="I39" s="22" t="inlineStr">
        <is>
          <t>(from Gmail sweep 2026-07-18)</t>
        </is>
      </c>
      <c r="J39" s="22" t="inlineStr">
        <is>
          <t>email-sourced</t>
        </is>
      </c>
    </row>
    <row r="40">
      <c r="A40" s="4" t="inlineStr">
        <is>
          <t>2025-01-09</t>
        </is>
      </c>
      <c r="B40" s="4" t="inlineStr">
        <is>
          <t>Entergy (Electric)</t>
        </is>
      </c>
      <c r="C40" s="4" t="inlineStr">
        <is>
          <t>Utilities</t>
        </is>
      </c>
      <c r="D40" s="4" t="inlineStr">
        <is>
          <t>from email - no PDF on file</t>
        </is>
      </c>
      <c r="E40" s="5" t="n">
        <v>511.18</v>
      </c>
      <c r="F40" s="4" t="inlineStr">
        <is>
          <t>Yes</t>
        </is>
      </c>
      <c r="G40" s="6">
        <f>IFERROR(INDEX(Settings!$B$5:$B$18,MATCH(C40,Settings!$A$5:$A$18,0)),0)</f>
        <v/>
      </c>
      <c r="H40" s="5">
        <f>IF(F40="Yes",ROUND(E40*G40,2),0)</f>
        <v/>
      </c>
      <c r="I40" s="22" t="inlineStr">
        <is>
          <t>(from Gmail sweep 2026-07-18)</t>
        </is>
      </c>
      <c r="J40" s="22" t="inlineStr">
        <is>
          <t>email-sourced</t>
        </is>
      </c>
    </row>
    <row r="41">
      <c r="A41" s="4" t="inlineStr">
        <is>
          <t>2025-01-13</t>
        </is>
      </c>
      <c r="B41" s="4" t="inlineStr">
        <is>
          <t>Atmos (Gas)</t>
        </is>
      </c>
      <c r="C41" s="4" t="inlineStr">
        <is>
          <t>Utilities</t>
        </is>
      </c>
      <c r="D41" s="4" t="inlineStr">
        <is>
          <t>from email (current charges)</t>
        </is>
      </c>
      <c r="E41" s="5" t="n">
        <v>68.48</v>
      </c>
      <c r="F41" s="4" t="inlineStr">
        <is>
          <t>Yes</t>
        </is>
      </c>
      <c r="G41" s="6">
        <f>IFERROR(INDEX(Settings!$B$5:$B$18,MATCH(C41,Settings!$A$5:$A$18,0)),0)</f>
        <v/>
      </c>
      <c r="H41" s="5">
        <f>IF(F41="Yes",ROUND(E41*G41,2),0)</f>
        <v/>
      </c>
      <c r="I41" s="22" t="inlineStr">
        <is>
          <t>(from Gmail sweep 2026-07-18)</t>
        </is>
      </c>
      <c r="J41" s="22" t="inlineStr">
        <is>
          <t>email-sourced</t>
        </is>
      </c>
    </row>
    <row r="42">
      <c r="A42" s="4" t="inlineStr">
        <is>
          <t>2025-01-15</t>
        </is>
      </c>
      <c r="B42" s="4" t="inlineStr">
        <is>
          <t>St Luke's School (FACTS)</t>
        </is>
      </c>
      <c r="C42" s="4" t="inlineStr">
        <is>
          <t>School/Tuition</t>
        </is>
      </c>
      <c r="D42" s="4" t="inlineStr">
        <is>
          <t>Tuition plan draft $200 + $5.90 fee (rescheduled after return)</t>
        </is>
      </c>
      <c r="E42" s="5" t="n">
        <v>205.9</v>
      </c>
      <c r="F42" s="4" t="inlineStr">
        <is>
          <t>Yes</t>
        </is>
      </c>
      <c r="G42" s="6">
        <f>IFERROR(INDEX(Settings!$B$5:$B$18,MATCH(C42,Settings!$A$5:$A$18,0)),0)</f>
        <v/>
      </c>
      <c r="H42" s="5">
        <f>IF(F42="Yes",ROUND(E42*G42,2),0)</f>
        <v/>
      </c>
      <c r="I42" s="22" t="inlineStr">
        <is>
          <t>(from Gmail sweep 2026-07-18)</t>
        </is>
      </c>
      <c r="J42" s="22" t="inlineStr">
        <is>
          <t>email-sourced</t>
        </is>
      </c>
    </row>
    <row r="43">
      <c r="A43" s="4" t="inlineStr">
        <is>
          <t>2025-01-20</t>
        </is>
      </c>
      <c r="B43" s="4" t="inlineStr">
        <is>
          <t>BR Water</t>
        </is>
      </c>
      <c r="C43" s="4" t="inlineStr">
        <is>
          <t>Utilities</t>
        </is>
      </c>
      <c r="D43" s="4" t="inlineStr">
        <is>
          <t>Water/Sewer Jan 2025 current charges (email)</t>
        </is>
      </c>
      <c r="E43" s="5" t="n">
        <v>177.42</v>
      </c>
      <c r="F43" s="4" t="inlineStr">
        <is>
          <t>Yes</t>
        </is>
      </c>
      <c r="G43" s="6">
        <f>IFERROR(INDEX(Settings!$B$5:$B$18,MATCH(C43,Settings!$A$5:$A$18,0)),0)</f>
        <v/>
      </c>
      <c r="H43" s="5">
        <f>IF(F43="Yes",ROUND(E43*G43,2),0)</f>
        <v/>
      </c>
      <c r="I43" s="22" t="inlineStr">
        <is>
          <t>(from Gmail sweep 2026-07-18)</t>
        </is>
      </c>
      <c r="J43" s="22" t="inlineStr">
        <is>
          <t>email-sourced</t>
        </is>
      </c>
    </row>
    <row r="44">
      <c r="A44" s="4" t="inlineStr">
        <is>
          <t>2025-01-20</t>
        </is>
      </c>
      <c r="B44" s="4" t="inlineStr">
        <is>
          <t>BR Water</t>
        </is>
      </c>
      <c r="C44" s="4" t="inlineStr">
        <is>
          <t>Utilities</t>
        </is>
      </c>
      <c r="D44" s="4" t="inlineStr">
        <is>
          <t>Irrigation Jan 2025 current charges (email)</t>
        </is>
      </c>
      <c r="E44" s="5" t="n">
        <v>38.79</v>
      </c>
      <c r="F44" s="4" t="inlineStr">
        <is>
          <t>Yes</t>
        </is>
      </c>
      <c r="G44" s="6">
        <f>IFERROR(INDEX(Settings!$B$5:$B$18,MATCH(C44,Settings!$A$5:$A$18,0)),0)</f>
        <v/>
      </c>
      <c r="H44" s="5">
        <f>IF(F44="Yes",ROUND(E44*G44,2),0)</f>
        <v/>
      </c>
      <c r="I44" s="22" t="inlineStr">
        <is>
          <t>(from Gmail sweep 2026-07-18)</t>
        </is>
      </c>
      <c r="J44" s="22" t="inlineStr">
        <is>
          <t>email-sourced</t>
        </is>
      </c>
    </row>
    <row r="45">
      <c r="A45" s="4" t="inlineStr">
        <is>
          <t>2025-01-22</t>
        </is>
      </c>
      <c r="B45" s="4" t="inlineStr">
        <is>
          <t>AT&amp;T Business (Pearsons Luggage)</t>
        </is>
      </c>
      <c r="C45" s="4" t="inlineStr">
        <is>
          <t>AT&amp;T Business</t>
        </is>
      </c>
      <c r="D45" s="4" t="inlineStr">
        <is>
          <t>AT&amp;T business 2025-01 — Lindsey's $100 portion — her portion of shared wireless plan</t>
        </is>
      </c>
      <c r="E45" s="5" t="n">
        <v>100</v>
      </c>
      <c r="F45" s="4" t="inlineStr">
        <is>
          <t>Yes</t>
        </is>
      </c>
      <c r="G45" s="7" t="inlineStr">
        <is>
          <t>flat $100</t>
        </is>
      </c>
      <c r="H45" s="5" t="n">
        <v>100</v>
      </c>
      <c r="I45" s="22" t="inlineStr">
        <is>
          <t>(manual entry - config.json)</t>
        </is>
      </c>
      <c r="J45" s="22" t="inlineStr">
        <is>
          <t>manual</t>
        </is>
      </c>
    </row>
    <row r="46">
      <c r="A46" s="4" t="inlineStr">
        <is>
          <t>2025-01-28</t>
        </is>
      </c>
      <c r="B46" s="4" t="inlineStr">
        <is>
          <t>AT&amp;T Internet</t>
        </is>
      </c>
      <c r="C46" s="4" t="inlineStr">
        <is>
          <t>Utilities</t>
        </is>
      </c>
      <c r="D46" s="4" t="inlineStr">
        <is>
          <t>Internet monthly charge (bill 1/28/25)</t>
        </is>
      </c>
      <c r="E46" s="5" t="n">
        <v>115.4</v>
      </c>
      <c r="F46" s="4" t="inlineStr">
        <is>
          <t>Yes</t>
        </is>
      </c>
      <c r="G46" s="6">
        <f>IFERROR(INDEX(Settings!$B$5:$B$18,MATCH(C46,Settings!$A$5:$A$18,0)),0)</f>
        <v/>
      </c>
      <c r="H46" s="5">
        <f>IF(F46="Yes",ROUND(E46*G46,2),0)</f>
        <v/>
      </c>
      <c r="I46" s="22" t="inlineStr">
        <is>
          <t>(from Gmail sweep 2026-07-18)</t>
        </is>
      </c>
      <c r="J46" s="22" t="inlineStr">
        <is>
          <t>email-sourced</t>
        </is>
      </c>
    </row>
    <row r="47">
      <c r="A47" s="4" t="inlineStr">
        <is>
          <t>2025-02-01</t>
        </is>
      </c>
      <c r="B47" s="4" t="inlineStr">
        <is>
          <t>Assurance Financial</t>
        </is>
      </c>
      <c r="C47" s="4" t="inlineStr">
        <is>
          <t>Mortgage</t>
        </is>
      </c>
      <c r="D47" s="4" t="inlineStr">
        <is>
          <t>Home mortgage (8792 W Fairway Dr) - Assurance Financial, actual amounts from payment notices</t>
        </is>
      </c>
      <c r="E47" s="5" t="n">
        <v>3675.19</v>
      </c>
      <c r="F47" s="4" t="inlineStr">
        <is>
          <t>Yes</t>
        </is>
      </c>
      <c r="G47" s="6">
        <f>IFERROR(INDEX(Settings!$B$5:$B$18,MATCH(C47,Settings!$A$5:$A$18,0)),0)</f>
        <v/>
      </c>
      <c r="H47" s="5">
        <f>IF(F47="Yes",ROUND(E47*G47,2),0)</f>
        <v/>
      </c>
      <c r="I47" s="22" t="inlineStr">
        <is>
          <t>(from Assurance payment notices - email)</t>
        </is>
      </c>
      <c r="J47" s="22" t="inlineStr">
        <is>
          <t>mortgage (actual)</t>
        </is>
      </c>
    </row>
    <row r="48">
      <c r="A48" s="4" t="inlineStr">
        <is>
          <t>2025-02-02</t>
        </is>
      </c>
      <c r="B48" s="4" t="inlineStr">
        <is>
          <t>AT&amp;T Internet</t>
        </is>
      </c>
      <c r="C48" s="4" t="inlineStr">
        <is>
          <t>Utilities</t>
        </is>
      </c>
      <c r="D48" s="4" t="inlineStr">
        <is>
          <t>from email (Jan service)</t>
        </is>
      </c>
      <c r="E48" s="5" t="n">
        <v>115.4</v>
      </c>
      <c r="F48" s="4" t="inlineStr">
        <is>
          <t>Yes</t>
        </is>
      </c>
      <c r="G48" s="6">
        <f>IFERROR(INDEX(Settings!$B$5:$B$18,MATCH(C48,Settings!$A$5:$A$18,0)),0)</f>
        <v/>
      </c>
      <c r="H48" s="5">
        <f>IF(F48="Yes",ROUND(E48*G48,2),0)</f>
        <v/>
      </c>
      <c r="I48" s="22" t="inlineStr">
        <is>
          <t>(from Gmail sweep 2026-07-18)</t>
        </is>
      </c>
      <c r="J48" s="22" t="inlineStr">
        <is>
          <t>email-sourced</t>
        </is>
      </c>
    </row>
    <row r="49">
      <c r="A49" s="4" t="inlineStr">
        <is>
          <t>2025-02-20</t>
        </is>
      </c>
      <c r="B49" s="4" t="inlineStr">
        <is>
          <t>BR Water</t>
        </is>
      </c>
      <c r="C49" s="4" t="inlineStr">
        <is>
          <t>Utilities</t>
        </is>
      </c>
      <c r="D49" s="4" t="inlineStr">
        <is>
          <t>Water/Sewer Feb 2025 current charges (email)</t>
        </is>
      </c>
      <c r="E49" s="5" t="n">
        <v>173.99</v>
      </c>
      <c r="F49" s="4" t="inlineStr">
        <is>
          <t>Yes</t>
        </is>
      </c>
      <c r="G49" s="6">
        <f>IFERROR(INDEX(Settings!$B$5:$B$18,MATCH(C49,Settings!$A$5:$A$18,0)),0)</f>
        <v/>
      </c>
      <c r="H49" s="5">
        <f>IF(F49="Yes",ROUND(E49*G49,2),0)</f>
        <v/>
      </c>
      <c r="I49" s="22" t="inlineStr">
        <is>
          <t>(from Gmail sweep 2026-07-18)</t>
        </is>
      </c>
      <c r="J49" s="22" t="inlineStr">
        <is>
          <t>email-sourced</t>
        </is>
      </c>
    </row>
    <row r="50">
      <c r="A50" s="4" t="inlineStr">
        <is>
          <t>2025-02-22</t>
        </is>
      </c>
      <c r="B50" s="4" t="inlineStr">
        <is>
          <t>AT&amp;T Business (Pearsons Luggage)</t>
        </is>
      </c>
      <c r="C50" s="4" t="inlineStr">
        <is>
          <t>AT&amp;T Business</t>
        </is>
      </c>
      <c r="D50" s="4" t="inlineStr">
        <is>
          <t>Her portion of shared wireless plan (family bill)</t>
        </is>
      </c>
      <c r="E50" s="5" t="n">
        <v>100</v>
      </c>
      <c r="F50" s="4" t="inlineStr">
        <is>
          <t>Yes</t>
        </is>
      </c>
      <c r="G50" s="7" t="inlineStr">
        <is>
          <t>flat $100</t>
        </is>
      </c>
      <c r="H50" s="5" t="n">
        <v>100</v>
      </c>
      <c r="I50" s="22" t="inlineStr">
        <is>
          <t>(shared family wireless plan - statement available on request)</t>
        </is>
      </c>
      <c r="J50" s="22" t="inlineStr">
        <is>
          <t>email-sourced | $100/mo portion per agreement</t>
        </is>
      </c>
    </row>
    <row r="51">
      <c r="A51" s="4" t="inlineStr">
        <is>
          <t>2025-03-01</t>
        </is>
      </c>
      <c r="B51" s="4" t="inlineStr">
        <is>
          <t>Assurance Financial</t>
        </is>
      </c>
      <c r="C51" s="4" t="inlineStr">
        <is>
          <t>Mortgage</t>
        </is>
      </c>
      <c r="D51" s="4" t="inlineStr">
        <is>
          <t>Home mortgage (8792 W Fairway Dr) - Assurance Financial, actual amounts from payment notices</t>
        </is>
      </c>
      <c r="E51" s="5" t="n">
        <v>3675.19</v>
      </c>
      <c r="F51" s="4" t="inlineStr">
        <is>
          <t>Yes</t>
        </is>
      </c>
      <c r="G51" s="6">
        <f>IFERROR(INDEX(Settings!$B$5:$B$18,MATCH(C51,Settings!$A$5:$A$18,0)),0)</f>
        <v/>
      </c>
      <c r="H51" s="5">
        <f>IF(F51="Yes",ROUND(E51*G51,2),0)</f>
        <v/>
      </c>
      <c r="I51" s="22" t="inlineStr">
        <is>
          <t>(from Assurance payment notices - email)</t>
        </is>
      </c>
      <c r="J51" s="22" t="inlineStr">
        <is>
          <t>mortgage (actual)</t>
        </is>
      </c>
    </row>
    <row r="52">
      <c r="A52" s="4" t="inlineStr">
        <is>
          <t>2025-03-20</t>
        </is>
      </c>
      <c r="B52" s="4" t="inlineStr">
        <is>
          <t>BR Water</t>
        </is>
      </c>
      <c r="C52" s="4" t="inlineStr">
        <is>
          <t>Utilities</t>
        </is>
      </c>
      <c r="D52" s="4" t="inlineStr">
        <is>
          <t>Water/Sewer Mar 2025 current charges (email)</t>
        </is>
      </c>
      <c r="E52" s="5" t="n">
        <v>151.19</v>
      </c>
      <c r="F52" s="4" t="inlineStr">
        <is>
          <t>Yes</t>
        </is>
      </c>
      <c r="G52" s="6">
        <f>IFERROR(INDEX(Settings!$B$5:$B$18,MATCH(C52,Settings!$A$5:$A$18,0)),0)</f>
        <v/>
      </c>
      <c r="H52" s="5">
        <f>IF(F52="Yes",ROUND(E52*G52,2),0)</f>
        <v/>
      </c>
      <c r="I52" s="22" t="inlineStr">
        <is>
          <t>(from Gmail sweep 2026-07-18)</t>
        </is>
      </c>
      <c r="J52" s="22" t="inlineStr">
        <is>
          <t>email-sourced</t>
        </is>
      </c>
    </row>
    <row r="53">
      <c r="A53" s="4" t="inlineStr">
        <is>
          <t>2025-03-22</t>
        </is>
      </c>
      <c r="B53" s="4" t="inlineStr">
        <is>
          <t>AT&amp;T Business (Pearsons Luggage)</t>
        </is>
      </c>
      <c r="C53" s="4" t="inlineStr">
        <is>
          <t>AT&amp;T Business</t>
        </is>
      </c>
      <c r="D53" s="4" t="inlineStr">
        <is>
          <t>Her portion of shared wireless plan (family bill)</t>
        </is>
      </c>
      <c r="E53" s="5" t="n">
        <v>100</v>
      </c>
      <c r="F53" s="4" t="inlineStr">
        <is>
          <t>Yes</t>
        </is>
      </c>
      <c r="G53" s="7" t="inlineStr">
        <is>
          <t>flat $100</t>
        </is>
      </c>
      <c r="H53" s="5" t="n">
        <v>100</v>
      </c>
      <c r="I53" s="22" t="inlineStr">
        <is>
          <t>(shared family wireless plan - statement available on request)</t>
        </is>
      </c>
      <c r="J53" s="22" t="inlineStr">
        <is>
          <t>email-sourced | $100/mo portion per agreement</t>
        </is>
      </c>
    </row>
    <row r="54">
      <c r="A54" s="4" t="inlineStr">
        <is>
          <t>2025-04-01</t>
        </is>
      </c>
      <c r="B54" s="4" t="inlineStr">
        <is>
          <t>Assurance Financial</t>
        </is>
      </c>
      <c r="C54" s="4" t="inlineStr">
        <is>
          <t>Mortgage</t>
        </is>
      </c>
      <c r="D54" s="4" t="inlineStr">
        <is>
          <t>Home mortgage (8792 W Fairway Dr) - Assurance Financial, actual amounts from payment notices</t>
        </is>
      </c>
      <c r="E54" s="5" t="n">
        <v>3675.19</v>
      </c>
      <c r="F54" s="4" t="inlineStr">
        <is>
          <t>Yes</t>
        </is>
      </c>
      <c r="G54" s="6">
        <f>IFERROR(INDEX(Settings!$B$5:$B$18,MATCH(C54,Settings!$A$5:$A$18,0)),0)</f>
        <v/>
      </c>
      <c r="H54" s="5">
        <f>IF(F54="Yes",ROUND(E54*G54,2),0)</f>
        <v/>
      </c>
      <c r="I54" s="22" t="inlineStr">
        <is>
          <t>(from Assurance payment notices - email)</t>
        </is>
      </c>
      <c r="J54" s="22" t="inlineStr">
        <is>
          <t>mortgage (actual)</t>
        </is>
      </c>
    </row>
    <row r="55">
      <c r="A55" s="4" t="inlineStr">
        <is>
          <t>2025-04-20</t>
        </is>
      </c>
      <c r="B55" s="4" t="inlineStr">
        <is>
          <t>BR Water</t>
        </is>
      </c>
      <c r="C55" s="4" t="inlineStr">
        <is>
          <t>Utilities</t>
        </is>
      </c>
      <c r="D55" s="4" t="inlineStr">
        <is>
          <t>Water/Sewer Apr 2025 current charges (email)</t>
        </is>
      </c>
      <c r="E55" s="5" t="n">
        <v>157.27</v>
      </c>
      <c r="F55" s="4" t="inlineStr">
        <is>
          <t>Yes</t>
        </is>
      </c>
      <c r="G55" s="6">
        <f>IFERROR(INDEX(Settings!$B$5:$B$18,MATCH(C55,Settings!$A$5:$A$18,0)),0)</f>
        <v/>
      </c>
      <c r="H55" s="5">
        <f>IF(F55="Yes",ROUND(E55*G55,2),0)</f>
        <v/>
      </c>
      <c r="I55" s="22" t="inlineStr">
        <is>
          <t>(from Gmail sweep 2026-07-18)</t>
        </is>
      </c>
      <c r="J55" s="22" t="inlineStr">
        <is>
          <t>email-sourced</t>
        </is>
      </c>
    </row>
    <row r="56">
      <c r="A56" s="4" t="inlineStr">
        <is>
          <t>2025-04-22</t>
        </is>
      </c>
      <c r="B56" s="4" t="inlineStr">
        <is>
          <t>AT&amp;T Business (Pearsons Luggage)</t>
        </is>
      </c>
      <c r="C56" s="4" t="inlineStr">
        <is>
          <t>AT&amp;T Business</t>
        </is>
      </c>
      <c r="D56" s="4" t="inlineStr">
        <is>
          <t>Her portion of shared wireless plan (family bill)</t>
        </is>
      </c>
      <c r="E56" s="5" t="n">
        <v>100</v>
      </c>
      <c r="F56" s="4" t="inlineStr">
        <is>
          <t>Yes</t>
        </is>
      </c>
      <c r="G56" s="7" t="inlineStr">
        <is>
          <t>flat $100</t>
        </is>
      </c>
      <c r="H56" s="5" t="n">
        <v>100</v>
      </c>
      <c r="I56" s="22" t="inlineStr">
        <is>
          <t>(shared family wireless plan - statement available on request)</t>
        </is>
      </c>
      <c r="J56" s="22" t="inlineStr">
        <is>
          <t>email-sourced | $100/mo portion per agreement</t>
        </is>
      </c>
    </row>
    <row r="57">
      <c r="A57" s="4" t="inlineStr">
        <is>
          <t>2025-05-01</t>
        </is>
      </c>
      <c r="B57" s="4" t="inlineStr">
        <is>
          <t>Assurance Financial</t>
        </is>
      </c>
      <c r="C57" s="4" t="inlineStr">
        <is>
          <t>Mortgage</t>
        </is>
      </c>
      <c r="D57" s="4" t="inlineStr">
        <is>
          <t>Home mortgage (8792 W Fairway Dr) - Assurance Financial, actual amounts from payment notices</t>
        </is>
      </c>
      <c r="E57" s="5" t="n">
        <v>3538.62</v>
      </c>
      <c r="F57" s="4" t="inlineStr">
        <is>
          <t>Yes</t>
        </is>
      </c>
      <c r="G57" s="6">
        <f>IFERROR(INDEX(Settings!$B$5:$B$18,MATCH(C57,Settings!$A$5:$A$18,0)),0)</f>
        <v/>
      </c>
      <c r="H57" s="5">
        <f>IF(F57="Yes",ROUND(E57*G57,2),0)</f>
        <v/>
      </c>
      <c r="I57" s="22" t="inlineStr">
        <is>
          <t>(from Assurance payment notices - email)</t>
        </is>
      </c>
      <c r="J57" s="22" t="inlineStr">
        <is>
          <t>mortgage (actual)</t>
        </is>
      </c>
    </row>
    <row r="58">
      <c r="A58" s="4" t="inlineStr">
        <is>
          <t>2025-05-20</t>
        </is>
      </c>
      <c r="B58" s="4" t="inlineStr">
        <is>
          <t>BR Water</t>
        </is>
      </c>
      <c r="C58" s="4" t="inlineStr">
        <is>
          <t>Utilities</t>
        </is>
      </c>
      <c r="D58" s="4" t="inlineStr">
        <is>
          <t>Water/Sewer May 2025 current charges (email)</t>
        </is>
      </c>
      <c r="E58" s="5" t="n">
        <v>137.49</v>
      </c>
      <c r="F58" s="4" t="inlineStr">
        <is>
          <t>Yes</t>
        </is>
      </c>
      <c r="G58" s="6">
        <f>IFERROR(INDEX(Settings!$B$5:$B$18,MATCH(C58,Settings!$A$5:$A$18,0)),0)</f>
        <v/>
      </c>
      <c r="H58" s="5">
        <f>IF(F58="Yes",ROUND(E58*G58,2),0)</f>
        <v/>
      </c>
      <c r="I58" s="22" t="inlineStr">
        <is>
          <t>(from Gmail sweep 2026-07-18)</t>
        </is>
      </c>
      <c r="J58" s="22" t="inlineStr">
        <is>
          <t>email-sourced</t>
        </is>
      </c>
    </row>
    <row r="59">
      <c r="A59" s="4" t="inlineStr">
        <is>
          <t>2025-05-22</t>
        </is>
      </c>
      <c r="B59" s="4" t="inlineStr">
        <is>
          <t>AT&amp;T Business (Pearsons Luggage)</t>
        </is>
      </c>
      <c r="C59" s="4" t="inlineStr">
        <is>
          <t>AT&amp;T Business</t>
        </is>
      </c>
      <c r="D59" s="4" t="inlineStr">
        <is>
          <t>Her portion of shared wireless plan (family bill)</t>
        </is>
      </c>
      <c r="E59" s="5" t="n">
        <v>100</v>
      </c>
      <c r="F59" s="4" t="inlineStr">
        <is>
          <t>Yes</t>
        </is>
      </c>
      <c r="G59" s="7" t="inlineStr">
        <is>
          <t>flat $100</t>
        </is>
      </c>
      <c r="H59" s="5" t="n">
        <v>100</v>
      </c>
      <c r="I59" s="22" t="inlineStr">
        <is>
          <t>(shared family wireless plan - statement available on request)</t>
        </is>
      </c>
      <c r="J59" s="22" t="inlineStr">
        <is>
          <t>email-sourced | $100/mo portion per agreement</t>
        </is>
      </c>
    </row>
    <row r="60">
      <c r="A60" s="4" t="inlineStr">
        <is>
          <t>2025-06-01</t>
        </is>
      </c>
      <c r="B60" s="4" t="inlineStr">
        <is>
          <t>Assurance Financial</t>
        </is>
      </c>
      <c r="C60" s="4" t="inlineStr">
        <is>
          <t>Mortgage</t>
        </is>
      </c>
      <c r="D60" s="4" t="inlineStr">
        <is>
          <t>Home mortgage (8792 W Fairway Dr) - Assurance Financial, actual amounts from payment notices</t>
        </is>
      </c>
      <c r="E60" s="5" t="n">
        <v>3538.62</v>
      </c>
      <c r="F60" s="4" t="inlineStr">
        <is>
          <t>Yes</t>
        </is>
      </c>
      <c r="G60" s="6">
        <f>IFERROR(INDEX(Settings!$B$5:$B$18,MATCH(C60,Settings!$A$5:$A$18,0)),0)</f>
        <v/>
      </c>
      <c r="H60" s="5">
        <f>IF(F60="Yes",ROUND(E60*G60,2),0)</f>
        <v/>
      </c>
      <c r="I60" s="22" t="inlineStr">
        <is>
          <t>(from Assurance payment notices - email)</t>
        </is>
      </c>
      <c r="J60" s="22" t="inlineStr">
        <is>
          <t>mortgage (actual)</t>
        </is>
      </c>
    </row>
    <row r="61">
      <c r="A61" s="4" t="inlineStr">
        <is>
          <t>2025-06-22</t>
        </is>
      </c>
      <c r="B61" s="4" t="inlineStr">
        <is>
          <t>AT&amp;T Business (Pearsons Luggage)</t>
        </is>
      </c>
      <c r="C61" s="4" t="inlineStr">
        <is>
          <t>AT&amp;T Business</t>
        </is>
      </c>
      <c r="D61" s="4" t="inlineStr">
        <is>
          <t>Her portion of shared wireless plan (family bill)</t>
        </is>
      </c>
      <c r="E61" s="5" t="n">
        <v>100</v>
      </c>
      <c r="F61" s="4" t="inlineStr">
        <is>
          <t>Yes</t>
        </is>
      </c>
      <c r="G61" s="7" t="inlineStr">
        <is>
          <t>flat $100</t>
        </is>
      </c>
      <c r="H61" s="5" t="n">
        <v>100</v>
      </c>
      <c r="I61" s="22" t="inlineStr">
        <is>
          <t>(shared family wireless plan - statement available on request)</t>
        </is>
      </c>
      <c r="J61" s="22" t="inlineStr">
        <is>
          <t>email-sourced | $100/mo portion per agreement</t>
        </is>
      </c>
    </row>
    <row r="62">
      <c r="A62" s="4" t="inlineStr">
        <is>
          <t>2025-07-01</t>
        </is>
      </c>
      <c r="B62" s="4" t="inlineStr">
        <is>
          <t>Assurance Financial</t>
        </is>
      </c>
      <c r="C62" s="4" t="inlineStr">
        <is>
          <t>Mortgage</t>
        </is>
      </c>
      <c r="D62" s="4" t="inlineStr">
        <is>
          <t>Home mortgage (8792 W Fairway Dr) - Assurance Financial, actual amounts from payment notices</t>
        </is>
      </c>
      <c r="E62" s="5" t="n">
        <v>3538.62</v>
      </c>
      <c r="F62" s="4" t="inlineStr">
        <is>
          <t>Yes</t>
        </is>
      </c>
      <c r="G62" s="6">
        <f>IFERROR(INDEX(Settings!$B$5:$B$18,MATCH(C62,Settings!$A$5:$A$18,0)),0)</f>
        <v/>
      </c>
      <c r="H62" s="5">
        <f>IF(F62="Yes",ROUND(E62*G62,2),0)</f>
        <v/>
      </c>
      <c r="I62" s="22" t="inlineStr">
        <is>
          <t>(from Assurance payment notices - email)</t>
        </is>
      </c>
      <c r="J62" s="22" t="inlineStr">
        <is>
          <t>mortgage (actual)</t>
        </is>
      </c>
    </row>
    <row r="63">
      <c r="A63" s="4" t="inlineStr">
        <is>
          <t>2025-07-11</t>
        </is>
      </c>
      <c r="B63" s="4" t="inlineStr">
        <is>
          <t>Atmos (Gas)</t>
        </is>
      </c>
      <c r="C63" s="4" t="inlineStr">
        <is>
          <t>Utilities</t>
        </is>
      </c>
      <c r="D63" s="4" t="inlineStr">
        <is>
          <t>from email (current charges)</t>
        </is>
      </c>
      <c r="E63" s="5" t="n">
        <v>49.96</v>
      </c>
      <c r="F63" s="4" t="inlineStr">
        <is>
          <t>Yes</t>
        </is>
      </c>
      <c r="G63" s="6">
        <f>IFERROR(INDEX(Settings!$B$5:$B$18,MATCH(C63,Settings!$A$5:$A$18,0)),0)</f>
        <v/>
      </c>
      <c r="H63" s="5">
        <f>IF(F63="Yes",ROUND(E63*G63,2),0)</f>
        <v/>
      </c>
      <c r="I63" s="22" t="inlineStr">
        <is>
          <t>(from Gmail sweep 2026-07-18)</t>
        </is>
      </c>
      <c r="J63" s="22" t="inlineStr">
        <is>
          <t>email-sourced</t>
        </is>
      </c>
    </row>
    <row r="64">
      <c r="A64" s="4" t="inlineStr">
        <is>
          <t>2025-07-22</t>
        </is>
      </c>
      <c r="B64" s="4" t="inlineStr">
        <is>
          <t>AT&amp;T Business (Pearsons Luggage)</t>
        </is>
      </c>
      <c r="C64" s="4" t="inlineStr">
        <is>
          <t>AT&amp;T Business</t>
        </is>
      </c>
      <c r="D64" s="4" t="inlineStr">
        <is>
          <t>Her portion of shared wireless plan (family bill)</t>
        </is>
      </c>
      <c r="E64" s="5" t="n">
        <v>100</v>
      </c>
      <c r="F64" s="4" t="inlineStr">
        <is>
          <t>Yes</t>
        </is>
      </c>
      <c r="G64" s="7" t="inlineStr">
        <is>
          <t>flat $100</t>
        </is>
      </c>
      <c r="H64" s="5" t="n">
        <v>100</v>
      </c>
      <c r="I64" s="22" t="inlineStr">
        <is>
          <t>(shared family wireless plan - statement available on request)</t>
        </is>
      </c>
      <c r="J64" s="22" t="inlineStr">
        <is>
          <t>email-sourced | $100/mo portion per agreement</t>
        </is>
      </c>
    </row>
    <row r="65">
      <c r="A65" s="4" t="inlineStr">
        <is>
          <t>2025-08-01</t>
        </is>
      </c>
      <c r="B65" s="4" t="inlineStr">
        <is>
          <t>Assurance Financial</t>
        </is>
      </c>
      <c r="C65" s="4" t="inlineStr">
        <is>
          <t>Mortgage</t>
        </is>
      </c>
      <c r="D65" s="4" t="inlineStr">
        <is>
          <t>Home mortgage (8792 W Fairway Dr) - Assurance Financial, actual amounts from payment notices</t>
        </is>
      </c>
      <c r="E65" s="5" t="n">
        <v>3538.62</v>
      </c>
      <c r="F65" s="4" t="inlineStr">
        <is>
          <t>Yes</t>
        </is>
      </c>
      <c r="G65" s="6">
        <f>IFERROR(INDEX(Settings!$B$5:$B$18,MATCH(C65,Settings!$A$5:$A$18,0)),0)</f>
        <v/>
      </c>
      <c r="H65" s="5">
        <f>IF(F65="Yes",ROUND(E65*G65,2),0)</f>
        <v/>
      </c>
      <c r="I65" s="22" t="inlineStr">
        <is>
          <t>(from Assurance payment notices - email)</t>
        </is>
      </c>
      <c r="J65" s="22" t="inlineStr">
        <is>
          <t>mortgage (actual)</t>
        </is>
      </c>
    </row>
    <row r="66">
      <c r="A66" s="4" t="inlineStr">
        <is>
          <t>2025-08-14</t>
        </is>
      </c>
      <c r="B66" s="4" t="inlineStr">
        <is>
          <t>Pool (Fernando)</t>
        </is>
      </c>
      <c r="C66" s="4" t="inlineStr">
        <is>
          <t>Pool</t>
        </is>
      </c>
      <c r="D66" s="4" t="inlineStr">
        <is>
          <t>inv#2801 from email</t>
        </is>
      </c>
      <c r="E66" s="5" t="n">
        <v>376</v>
      </c>
      <c r="F66" s="4" t="inlineStr">
        <is>
          <t>Yes</t>
        </is>
      </c>
      <c r="G66" s="6">
        <f>IFERROR(INDEX(Settings!$B$5:$B$18,MATCH(C66,Settings!$A$5:$A$18,0)),0)</f>
        <v/>
      </c>
      <c r="H66" s="5">
        <f>IF(F66="Yes",ROUND(E66*G66,2),0)</f>
        <v/>
      </c>
      <c r="I66" s="22" t="inlineStr">
        <is>
          <t>(from Gmail sweep 2026-07-18)</t>
        </is>
      </c>
      <c r="J66" s="22" t="inlineStr">
        <is>
          <t>email-sourced</t>
        </is>
      </c>
    </row>
    <row r="67">
      <c r="A67" s="4" t="inlineStr">
        <is>
          <t>2025-08-22</t>
        </is>
      </c>
      <c r="B67" s="4" t="inlineStr">
        <is>
          <t>AT&amp;T Business (Pearsons Luggage)</t>
        </is>
      </c>
      <c r="C67" s="4" t="inlineStr">
        <is>
          <t>AT&amp;T Business</t>
        </is>
      </c>
      <c r="D67" s="4" t="inlineStr">
        <is>
          <t>Her portion of shared wireless plan (family bill)</t>
        </is>
      </c>
      <c r="E67" s="5" t="n">
        <v>100</v>
      </c>
      <c r="F67" s="4" t="inlineStr">
        <is>
          <t>Yes</t>
        </is>
      </c>
      <c r="G67" s="7" t="inlineStr">
        <is>
          <t>flat $100</t>
        </is>
      </c>
      <c r="H67" s="5" t="n">
        <v>100</v>
      </c>
      <c r="I67" s="22" t="inlineStr">
        <is>
          <t>(shared family wireless plan - statement available on request)</t>
        </is>
      </c>
      <c r="J67" s="22" t="inlineStr">
        <is>
          <t>email-sourced | $100/mo portion per agreement</t>
        </is>
      </c>
    </row>
    <row r="68">
      <c r="A68" s="4" t="inlineStr">
        <is>
          <t>2025-09-01</t>
        </is>
      </c>
      <c r="B68" s="4" t="inlineStr">
        <is>
          <t>Assurance Financial</t>
        </is>
      </c>
      <c r="C68" s="4" t="inlineStr">
        <is>
          <t>Mortgage</t>
        </is>
      </c>
      <c r="D68" s="4" t="inlineStr">
        <is>
          <t>Home mortgage (8792 W Fairway Dr) - Assurance Financial, actual amounts from payment notices</t>
        </is>
      </c>
      <c r="E68" s="5" t="n">
        <v>3538.62</v>
      </c>
      <c r="F68" s="4" t="inlineStr">
        <is>
          <t>Yes</t>
        </is>
      </c>
      <c r="G68" s="6">
        <f>IFERROR(INDEX(Settings!$B$5:$B$18,MATCH(C68,Settings!$A$5:$A$18,0)),0)</f>
        <v/>
      </c>
      <c r="H68" s="5">
        <f>IF(F68="Yes",ROUND(E68*G68,2),0)</f>
        <v/>
      </c>
      <c r="I68" s="22" t="inlineStr">
        <is>
          <t>(from Assurance payment notices - email)</t>
        </is>
      </c>
      <c r="J68" s="22" t="inlineStr">
        <is>
          <t>mortgage (actual)</t>
        </is>
      </c>
    </row>
    <row r="69">
      <c r="A69" s="4" t="inlineStr">
        <is>
          <t>2025-09-22</t>
        </is>
      </c>
      <c r="B69" s="4" t="inlineStr">
        <is>
          <t>AT&amp;T Business (Pearsons Luggage)</t>
        </is>
      </c>
      <c r="C69" s="4" t="inlineStr">
        <is>
          <t>AT&amp;T Business</t>
        </is>
      </c>
      <c r="D69" s="4" t="inlineStr">
        <is>
          <t>Her portion of shared wireless plan (family bill)</t>
        </is>
      </c>
      <c r="E69" s="5" t="n">
        <v>100</v>
      </c>
      <c r="F69" s="4" t="inlineStr">
        <is>
          <t>Yes</t>
        </is>
      </c>
      <c r="G69" s="7" t="inlineStr">
        <is>
          <t>flat $100</t>
        </is>
      </c>
      <c r="H69" s="5" t="n">
        <v>100</v>
      </c>
      <c r="I69" s="22" t="inlineStr">
        <is>
          <t>(shared family wireless plan - statement available on request)</t>
        </is>
      </c>
      <c r="J69" s="22" t="inlineStr">
        <is>
          <t>email-sourced | $100/mo portion per agreement</t>
        </is>
      </c>
    </row>
    <row r="70">
      <c r="A70" s="4" t="inlineStr">
        <is>
          <t>2025-09-25</t>
        </is>
      </c>
      <c r="B70" s="4" t="inlineStr">
        <is>
          <t>Landon Haynes</t>
        </is>
      </c>
      <c r="C70" s="4" t="inlineStr">
        <is>
          <t>Home Repairs &amp; A/C</t>
        </is>
      </c>
      <c r="D70" s="4" t="inlineStr">
        <is>
          <t>A/C repair work on the house — paid cash $3,000 (Chase withdrawal slip 9/25/25, memo 'Landon Haynes AC work')</t>
        </is>
      </c>
      <c r="E70" s="5" t="n">
        <v>3000</v>
      </c>
      <c r="F70" s="4" t="inlineStr">
        <is>
          <t>Yes</t>
        </is>
      </c>
      <c r="G70" s="6">
        <f>IFERROR(INDEX(Settings!$B$5:$B$18,MATCH(C70,Settings!$A$5:$A$18,0)),0)</f>
        <v/>
      </c>
      <c r="H70" s="5">
        <f>IF(F70="Yes",ROUND(E70*G70,2),0)</f>
        <v/>
      </c>
      <c r="I70" s="22" t="inlineStr">
        <is>
          <t>(manual entry - config.json)</t>
        </is>
      </c>
      <c r="J70" s="22" t="inlineStr">
        <is>
          <t>manual</t>
        </is>
      </c>
    </row>
    <row r="71">
      <c r="A71" s="4" t="inlineStr">
        <is>
          <t>2025-10-01</t>
        </is>
      </c>
      <c r="B71" s="4" t="inlineStr">
        <is>
          <t>Assurance Financial</t>
        </is>
      </c>
      <c r="C71" s="4" t="inlineStr">
        <is>
          <t>Mortgage</t>
        </is>
      </c>
      <c r="D71" s="4" t="inlineStr">
        <is>
          <t>Home mortgage (8792 W Fairway Dr) - Assurance Financial, actual amounts from payment notices</t>
        </is>
      </c>
      <c r="E71" s="5" t="n">
        <v>3538.62</v>
      </c>
      <c r="F71" s="4" t="inlineStr">
        <is>
          <t>Yes</t>
        </is>
      </c>
      <c r="G71" s="6">
        <f>IFERROR(INDEX(Settings!$B$5:$B$18,MATCH(C71,Settings!$A$5:$A$18,0)),0)</f>
        <v/>
      </c>
      <c r="H71" s="5">
        <f>IF(F71="Yes",ROUND(E71*G71,2),0)</f>
        <v/>
      </c>
      <c r="I71" s="22" t="inlineStr">
        <is>
          <t>(from Assurance payment notices - email)</t>
        </is>
      </c>
      <c r="J71" s="22" t="inlineStr">
        <is>
          <t>mortgage (actual)</t>
        </is>
      </c>
    </row>
    <row r="72">
      <c r="A72" s="4" t="inlineStr">
        <is>
          <t>2025-10-22</t>
        </is>
      </c>
      <c r="B72" s="4" t="inlineStr">
        <is>
          <t>AT&amp;T Business (Pearsons Luggage)</t>
        </is>
      </c>
      <c r="C72" s="4" t="inlineStr">
        <is>
          <t>AT&amp;T Business</t>
        </is>
      </c>
      <c r="D72" s="4" t="inlineStr">
        <is>
          <t>Her portion of shared wireless plan (family bill)</t>
        </is>
      </c>
      <c r="E72" s="5" t="n">
        <v>100</v>
      </c>
      <c r="F72" s="4" t="inlineStr">
        <is>
          <t>Yes</t>
        </is>
      </c>
      <c r="G72" s="7" t="inlineStr">
        <is>
          <t>flat $100</t>
        </is>
      </c>
      <c r="H72" s="5" t="n">
        <v>100</v>
      </c>
      <c r="I72" s="22" t="inlineStr">
        <is>
          <t>(shared family wireless plan - statement available on request)</t>
        </is>
      </c>
      <c r="J72" s="22" t="inlineStr">
        <is>
          <t>email-sourced | $100/mo portion per agreement</t>
        </is>
      </c>
    </row>
    <row r="73">
      <c r="A73" s="4" t="inlineStr">
        <is>
          <t>2025-11-01</t>
        </is>
      </c>
      <c r="B73" s="4" t="inlineStr">
        <is>
          <t>Assurance Financial</t>
        </is>
      </c>
      <c r="C73" s="4" t="inlineStr">
        <is>
          <t>Mortgage</t>
        </is>
      </c>
      <c r="D73" s="4" t="inlineStr">
        <is>
          <t>Home mortgage (8792 W Fairway Dr) - Assurance Financial, actual amounts from payment notices</t>
        </is>
      </c>
      <c r="E73" s="5" t="n">
        <v>3538.62</v>
      </c>
      <c r="F73" s="4" t="inlineStr">
        <is>
          <t>Yes</t>
        </is>
      </c>
      <c r="G73" s="6">
        <f>IFERROR(INDEX(Settings!$B$5:$B$18,MATCH(C73,Settings!$A$5:$A$18,0)),0)</f>
        <v/>
      </c>
      <c r="H73" s="5">
        <f>IF(F73="Yes",ROUND(E73*G73,2),0)</f>
        <v/>
      </c>
      <c r="I73" s="22" t="inlineStr">
        <is>
          <t>(from Assurance payment notices - email)</t>
        </is>
      </c>
      <c r="J73" s="22" t="inlineStr">
        <is>
          <t>mortgage (actual)</t>
        </is>
      </c>
    </row>
    <row r="74">
      <c r="A74" s="4" t="inlineStr">
        <is>
          <t>2025-11-22</t>
        </is>
      </c>
      <c r="B74" s="4" t="inlineStr">
        <is>
          <t>AT&amp;T Business (Pearsons Luggage)</t>
        </is>
      </c>
      <c r="C74" s="4" t="inlineStr">
        <is>
          <t>AT&amp;T Business</t>
        </is>
      </c>
      <c r="D74" s="4" t="inlineStr">
        <is>
          <t>Her portion of shared wireless plan (family bill)</t>
        </is>
      </c>
      <c r="E74" s="5" t="n">
        <v>100</v>
      </c>
      <c r="F74" s="4" t="inlineStr">
        <is>
          <t>Yes</t>
        </is>
      </c>
      <c r="G74" s="7" t="inlineStr">
        <is>
          <t>flat $100</t>
        </is>
      </c>
      <c r="H74" s="5" t="n">
        <v>100</v>
      </c>
      <c r="I74" s="22" t="inlineStr">
        <is>
          <t>(shared family wireless plan - statement available on request)</t>
        </is>
      </c>
      <c r="J74" s="22" t="inlineStr">
        <is>
          <t>email-sourced | $100/mo portion per agreement</t>
        </is>
      </c>
    </row>
    <row r="75">
      <c r="A75" s="4" t="inlineStr">
        <is>
          <t>2025-12-01</t>
        </is>
      </c>
      <c r="B75" s="4" t="inlineStr">
        <is>
          <t>Assurance Financial</t>
        </is>
      </c>
      <c r="C75" s="4" t="inlineStr">
        <is>
          <t>Mortgage</t>
        </is>
      </c>
      <c r="D75" s="4" t="inlineStr">
        <is>
          <t>Home mortgage (8792 W Fairway Dr) - Assurance Financial, actual amounts from payment notices</t>
        </is>
      </c>
      <c r="E75" s="5" t="n">
        <v>3538.62</v>
      </c>
      <c r="F75" s="4" t="inlineStr">
        <is>
          <t>Yes</t>
        </is>
      </c>
      <c r="G75" s="6">
        <f>IFERROR(INDEX(Settings!$B$5:$B$18,MATCH(C75,Settings!$A$5:$A$18,0)),0)</f>
        <v/>
      </c>
      <c r="H75" s="5">
        <f>IF(F75="Yes",ROUND(E75*G75,2),0)</f>
        <v/>
      </c>
      <c r="I75" s="22" t="inlineStr">
        <is>
          <t>(from Assurance payment notices - email)</t>
        </is>
      </c>
      <c r="J75" s="22" t="inlineStr">
        <is>
          <t>mortgage (actual)</t>
        </is>
      </c>
    </row>
    <row r="76">
      <c r="A76" s="4" t="inlineStr">
        <is>
          <t>2025-12-14</t>
        </is>
      </c>
      <c r="B76" s="4" t="inlineStr">
        <is>
          <t>St Luke's School (FACTS)</t>
        </is>
      </c>
      <c r="C76" s="4" t="inlineStr">
        <is>
          <t>School/Tuition</t>
        </is>
      </c>
      <c r="D76" s="4" t="inlineStr">
        <is>
          <t>Tutoring fee (invoice 652009473)</t>
        </is>
      </c>
      <c r="E76" s="5" t="n">
        <v>70</v>
      </c>
      <c r="F76" s="4" t="inlineStr">
        <is>
          <t>Yes</t>
        </is>
      </c>
      <c r="G76" s="6">
        <f>IFERROR(INDEX(Settings!$B$5:$B$18,MATCH(C76,Settings!$A$5:$A$18,0)),0)</f>
        <v/>
      </c>
      <c r="H76" s="5">
        <f>IF(F76="Yes",ROUND(E76*G76,2),0)</f>
        <v/>
      </c>
      <c r="I76" s="22" t="inlineStr">
        <is>
          <t>(from Gmail sweep 2026-07-18)</t>
        </is>
      </c>
      <c r="J76" s="22" t="inlineStr">
        <is>
          <t>email-sourced</t>
        </is>
      </c>
    </row>
    <row r="77">
      <c r="A77" s="4" t="inlineStr">
        <is>
          <t>2025-12-22</t>
        </is>
      </c>
      <c r="B77" s="4" t="inlineStr">
        <is>
          <t>AT&amp;T Business (Pearsons Luggage)</t>
        </is>
      </c>
      <c r="C77" s="4" t="inlineStr">
        <is>
          <t>AT&amp;T Business</t>
        </is>
      </c>
      <c r="D77" s="4" t="inlineStr">
        <is>
          <t>Her portion of shared wireless plan (family bill)</t>
        </is>
      </c>
      <c r="E77" s="5" t="n">
        <v>100</v>
      </c>
      <c r="F77" s="4" t="inlineStr">
        <is>
          <t>Yes</t>
        </is>
      </c>
      <c r="G77" s="7" t="inlineStr">
        <is>
          <t>flat $100</t>
        </is>
      </c>
      <c r="H77" s="5" t="n">
        <v>100</v>
      </c>
      <c r="I77" s="22" t="inlineStr">
        <is>
          <t>(shared family wireless plan - statement available on request)</t>
        </is>
      </c>
      <c r="J77" s="22" t="inlineStr">
        <is>
          <t>email-sourced | $100/mo portion per agreement</t>
        </is>
      </c>
    </row>
    <row r="78">
      <c r="A78" s="4" t="inlineStr">
        <is>
          <t>2025-12-31</t>
        </is>
      </c>
      <c r="B78" s="4" t="inlineStr">
        <is>
          <t>St Luke's School (FACTS)</t>
        </is>
      </c>
      <c r="C78" s="4" t="inlineStr">
        <is>
          <t>School/Tuition</t>
        </is>
      </c>
      <c r="D78" s="4" t="inlineStr">
        <is>
          <t>After Care drop-in (invoice 654818426)</t>
        </is>
      </c>
      <c r="E78" s="5" t="n">
        <v>32</v>
      </c>
      <c r="F78" s="4" t="inlineStr">
        <is>
          <t>Yes</t>
        </is>
      </c>
      <c r="G78" s="6">
        <f>IFERROR(INDEX(Settings!$B$5:$B$18,MATCH(C78,Settings!$A$5:$A$18,0)),0)</f>
        <v/>
      </c>
      <c r="H78" s="5">
        <f>IF(F78="Yes",ROUND(E78*G78,2),0)</f>
        <v/>
      </c>
      <c r="I78" s="22" t="inlineStr">
        <is>
          <t>(from Gmail sweep 2026-07-18)</t>
        </is>
      </c>
      <c r="J78" s="22" t="inlineStr">
        <is>
          <t>email-sourced</t>
        </is>
      </c>
    </row>
    <row r="79">
      <c r="A79" s="4" t="inlineStr">
        <is>
          <t>2026-01-01</t>
        </is>
      </c>
      <c r="B79" s="4" t="inlineStr">
        <is>
          <t>Assurance Financial</t>
        </is>
      </c>
      <c r="C79" s="4" t="inlineStr">
        <is>
          <t>Mortgage</t>
        </is>
      </c>
      <c r="D79" s="4" t="inlineStr">
        <is>
          <t>Home mortgage (8792 W Fairway Dr) - Assurance Financial, actual amounts from payment notices</t>
        </is>
      </c>
      <c r="E79" s="5" t="n">
        <v>3538.62</v>
      </c>
      <c r="F79" s="4" t="inlineStr">
        <is>
          <t>Yes</t>
        </is>
      </c>
      <c r="G79" s="6">
        <f>IFERROR(INDEX(Settings!$B$5:$B$18,MATCH(C79,Settings!$A$5:$A$18,0)),0)</f>
        <v/>
      </c>
      <c r="H79" s="5">
        <f>IF(F79="Yes",ROUND(E79*G79,2),0)</f>
        <v/>
      </c>
      <c r="I79" s="22" t="inlineStr">
        <is>
          <t>(from Assurance payment notices - email)</t>
        </is>
      </c>
      <c r="J79" s="22" t="inlineStr">
        <is>
          <t>mortgage (actual)</t>
        </is>
      </c>
    </row>
    <row r="80">
      <c r="A80" s="4" t="inlineStr">
        <is>
          <t>2026-01-30</t>
        </is>
      </c>
      <c r="B80" s="4" t="inlineStr">
        <is>
          <t>St Luke's School (FACTS)</t>
        </is>
      </c>
      <c r="C80" s="4" t="inlineStr">
        <is>
          <t>School/Tuition</t>
        </is>
      </c>
      <c r="D80" s="4" t="inlineStr">
        <is>
          <t>Tutoring fee (invoice 663128726)</t>
        </is>
      </c>
      <c r="E80" s="5" t="n">
        <v>100</v>
      </c>
      <c r="F80" s="4" t="inlineStr">
        <is>
          <t>Yes</t>
        </is>
      </c>
      <c r="G80" s="6">
        <f>IFERROR(INDEX(Settings!$B$5:$B$18,MATCH(C80,Settings!$A$5:$A$18,0)),0)</f>
        <v/>
      </c>
      <c r="H80" s="5">
        <f>IF(F80="Yes",ROUND(E80*G80,2),0)</f>
        <v/>
      </c>
      <c r="I80" s="22" t="inlineStr">
        <is>
          <t>(from Gmail sweep 2026-07-18)</t>
        </is>
      </c>
      <c r="J80" s="22" t="inlineStr">
        <is>
          <t>email-sourced</t>
        </is>
      </c>
    </row>
    <row r="81">
      <c r="A81" s="4" t="inlineStr">
        <is>
          <t>2026-02-01</t>
        </is>
      </c>
      <c r="B81" s="4" t="inlineStr">
        <is>
          <t>Assurance Financial</t>
        </is>
      </c>
      <c r="C81" s="4" t="inlineStr">
        <is>
          <t>Mortgage</t>
        </is>
      </c>
      <c r="D81" s="4" t="inlineStr">
        <is>
          <t>Home mortgage (8792 W Fairway Dr) - Assurance Financial, actual amounts from payment notices</t>
        </is>
      </c>
      <c r="E81" s="5" t="n">
        <v>3538.62</v>
      </c>
      <c r="F81" s="4" t="inlineStr">
        <is>
          <t>Yes</t>
        </is>
      </c>
      <c r="G81" s="6">
        <f>IFERROR(INDEX(Settings!$B$5:$B$18,MATCH(C81,Settings!$A$5:$A$18,0)),0)</f>
        <v/>
      </c>
      <c r="H81" s="5">
        <f>IF(F81="Yes",ROUND(E81*G81,2),0)</f>
        <v/>
      </c>
      <c r="I81" s="22" t="inlineStr">
        <is>
          <t>(from Assurance payment notices - email)</t>
        </is>
      </c>
      <c r="J81" s="22" t="inlineStr">
        <is>
          <t>mortgage (actual)</t>
        </is>
      </c>
    </row>
    <row r="82">
      <c r="A82" s="4" t="inlineStr">
        <is>
          <t>2026-02-10</t>
        </is>
      </c>
      <c r="B82" s="4" t="inlineStr">
        <is>
          <t>PODS (Storage)</t>
        </is>
      </c>
      <c r="C82" s="4" t="inlineStr">
        <is>
          <t>Storage</t>
        </is>
      </c>
      <c r="D82" s="4" t="inlineStr">
        <is>
          <t>recurring rate from PODS order (email)</t>
        </is>
      </c>
      <c r="E82" s="5" t="n">
        <v>279</v>
      </c>
      <c r="F82" s="4" t="inlineStr">
        <is>
          <t>Yes</t>
        </is>
      </c>
      <c r="G82" s="6">
        <f>IFERROR(INDEX(Settings!$B$5:$B$18,MATCH(C82,Settings!$A$5:$A$18,0)),0)</f>
        <v/>
      </c>
      <c r="H82" s="5">
        <f>IF(F82="Yes",ROUND(E82*G82,2),0)</f>
        <v/>
      </c>
      <c r="I82" s="22" t="inlineStr">
        <is>
          <t>(from Gmail sweep 2026-07-18)</t>
        </is>
      </c>
      <c r="J82" s="22" t="inlineStr">
        <is>
          <t>email-sourced</t>
        </is>
      </c>
    </row>
    <row r="83">
      <c r="A83" s="4" t="inlineStr">
        <is>
          <t>2026-03-01</t>
        </is>
      </c>
      <c r="B83" s="4" t="inlineStr">
        <is>
          <t>Assurance Financial</t>
        </is>
      </c>
      <c r="C83" s="4" t="inlineStr">
        <is>
          <t>Mortgage</t>
        </is>
      </c>
      <c r="D83" s="4" t="inlineStr">
        <is>
          <t>Home mortgage (8792 W Fairway Dr) - Assurance Financial, actual amounts from payment notices</t>
        </is>
      </c>
      <c r="E83" s="5" t="n">
        <v>3917.74</v>
      </c>
      <c r="F83" s="4" t="inlineStr">
        <is>
          <t>Yes</t>
        </is>
      </c>
      <c r="G83" s="6">
        <f>IFERROR(INDEX(Settings!$B$5:$B$18,MATCH(C83,Settings!$A$5:$A$18,0)),0)</f>
        <v/>
      </c>
      <c r="H83" s="5">
        <f>IF(F83="Yes",ROUND(E83*G83,2),0)</f>
        <v/>
      </c>
      <c r="I83" s="22" t="inlineStr">
        <is>
          <t>(from Assurance payment notices - email)</t>
        </is>
      </c>
      <c r="J83" s="22" t="inlineStr">
        <is>
          <t>mortgage (actual)</t>
        </is>
      </c>
    </row>
    <row r="84">
      <c r="A84" s="4" t="inlineStr">
        <is>
          <t>2026-03-09</t>
        </is>
      </c>
      <c r="B84" s="4" t="inlineStr">
        <is>
          <t>St Luke's School (FACTS)</t>
        </is>
      </c>
      <c r="C84" s="4" t="inlineStr">
        <is>
          <t>School/Tuition</t>
        </is>
      </c>
      <c r="D84" s="4" t="inlineStr">
        <is>
          <t>Tutoring fee (invoice 675669295)</t>
        </is>
      </c>
      <c r="E84" s="5" t="n">
        <v>40</v>
      </c>
      <c r="F84" s="4" t="inlineStr">
        <is>
          <t>Yes</t>
        </is>
      </c>
      <c r="G84" s="6">
        <f>IFERROR(INDEX(Settings!$B$5:$B$18,MATCH(C84,Settings!$A$5:$A$18,0)),0)</f>
        <v/>
      </c>
      <c r="H84" s="5">
        <f>IF(F84="Yes",ROUND(E84*G84,2),0)</f>
        <v/>
      </c>
      <c r="I84" s="22" t="inlineStr">
        <is>
          <t>(from Gmail sweep 2026-07-18)</t>
        </is>
      </c>
      <c r="J84" s="22" t="inlineStr">
        <is>
          <t>email-sourced</t>
        </is>
      </c>
    </row>
    <row r="85">
      <c r="A85" s="4" t="inlineStr">
        <is>
          <t>2026-03-10</t>
        </is>
      </c>
      <c r="B85" s="4" t="inlineStr">
        <is>
          <t>PODS (Storage)</t>
        </is>
      </c>
      <c r="C85" s="4" t="inlineStr">
        <is>
          <t>Storage</t>
        </is>
      </c>
      <c r="D85" s="4" t="inlineStr">
        <is>
          <t>recurring rate from PODS order (email)</t>
        </is>
      </c>
      <c r="E85" s="5" t="n">
        <v>279</v>
      </c>
      <c r="F85" s="4" t="inlineStr">
        <is>
          <t>Yes</t>
        </is>
      </c>
      <c r="G85" s="6">
        <f>IFERROR(INDEX(Settings!$B$5:$B$18,MATCH(C85,Settings!$A$5:$A$18,0)),0)</f>
        <v/>
      </c>
      <c r="H85" s="5">
        <f>IF(F85="Yes",ROUND(E85*G85,2),0)</f>
        <v/>
      </c>
      <c r="I85" s="22" t="inlineStr">
        <is>
          <t>(from Gmail sweep 2026-07-18)</t>
        </is>
      </c>
      <c r="J85" s="22" t="inlineStr">
        <is>
          <t>email-sourced</t>
        </is>
      </c>
    </row>
    <row r="86">
      <c r="A86" s="4" t="inlineStr">
        <is>
          <t>2026-03-22</t>
        </is>
      </c>
      <c r="B86" s="4" t="inlineStr">
        <is>
          <t>AT&amp;T Business (Pearsons Luggage)</t>
        </is>
      </c>
      <c r="C86" s="4" t="inlineStr">
        <is>
          <t>AT&amp;T Business</t>
        </is>
      </c>
      <c r="D86" s="4" t="inlineStr">
        <is>
          <t>Her portion of shared wireless plan (family bill)</t>
        </is>
      </c>
      <c r="E86" s="5" t="n">
        <v>100</v>
      </c>
      <c r="F86" s="4" t="inlineStr">
        <is>
          <t>Yes</t>
        </is>
      </c>
      <c r="G86" s="7" t="inlineStr">
        <is>
          <t>flat $100</t>
        </is>
      </c>
      <c r="H86" s="5" t="n">
        <v>100</v>
      </c>
      <c r="I86" s="22" t="inlineStr">
        <is>
          <t>(shared family wireless plan - statement available on request)</t>
        </is>
      </c>
      <c r="J86" s="22" t="inlineStr">
        <is>
          <t>email-sourced | $100/mo portion per agreement</t>
        </is>
      </c>
    </row>
    <row r="87">
      <c r="A87" s="4" t="inlineStr">
        <is>
          <t>2026-03-24</t>
        </is>
      </c>
      <c r="B87" s="4" t="inlineStr">
        <is>
          <t>De Roman's Construction</t>
        </is>
      </c>
      <c r="C87" s="4" t="inlineStr">
        <is>
          <t>Construction &amp; Home Improvements</t>
        </is>
      </c>
      <c r="D87" s="4" t="inlineStr">
        <is>
          <t>inv#0000717 - renovation phase 1, sale prep (paid; 'payment to Paco')</t>
        </is>
      </c>
      <c r="E87" s="5" t="n">
        <v>5600</v>
      </c>
      <c r="F87" s="4" t="inlineStr">
        <is>
          <t>Yes</t>
        </is>
      </c>
      <c r="G87" s="6">
        <f>IFERROR(INDEX(Settings!$B$5:$B$18,MATCH(C87,Settings!$A$5:$A$18,0)),0)</f>
        <v/>
      </c>
      <c r="H87" s="5">
        <f>IF(F87="Yes",ROUND(E87*G87,2),0)</f>
        <v/>
      </c>
      <c r="I87" s="22" t="inlineStr">
        <is>
          <t>(from Gmail sweep 2026-07-18)</t>
        </is>
      </c>
      <c r="J87" s="22" t="inlineStr">
        <is>
          <t>email-sourced</t>
        </is>
      </c>
    </row>
    <row r="88">
      <c r="A88" s="4" t="inlineStr">
        <is>
          <t>2026-03-31</t>
        </is>
      </c>
      <c r="B88" s="4" t="inlineStr">
        <is>
          <t>AT&amp;T Internet</t>
        </is>
      </c>
      <c r="C88" s="4" t="inlineStr">
        <is>
          <t>Utilities</t>
        </is>
      </c>
      <c r="D88" s="4" t="inlineStr">
        <is>
          <t>from email</t>
        </is>
      </c>
      <c r="E88" s="5" t="n">
        <v>125.42</v>
      </c>
      <c r="F88" s="4" t="inlineStr">
        <is>
          <t>Yes</t>
        </is>
      </c>
      <c r="G88" s="6">
        <f>IFERROR(INDEX(Settings!$B$5:$B$18,MATCH(C88,Settings!$A$5:$A$18,0)),0)</f>
        <v/>
      </c>
      <c r="H88" s="5">
        <f>IF(F88="Yes",ROUND(E88*G88,2),0)</f>
        <v/>
      </c>
      <c r="I88" s="22" t="inlineStr">
        <is>
          <t>(from Gmail sweep 2026-07-18)</t>
        </is>
      </c>
      <c r="J88" s="22" t="inlineStr">
        <is>
          <t>email-sourced</t>
        </is>
      </c>
    </row>
    <row r="89">
      <c r="A89" s="4" t="inlineStr">
        <is>
          <t>2026-04-01</t>
        </is>
      </c>
      <c r="B89" s="4" t="inlineStr">
        <is>
          <t>Assurance Financial</t>
        </is>
      </c>
      <c r="C89" s="4" t="inlineStr">
        <is>
          <t>Mortgage</t>
        </is>
      </c>
      <c r="D89" s="4" t="inlineStr">
        <is>
          <t>Home mortgage (8792 W Fairway Dr) - Assurance Financial, actual amounts from payment notices</t>
        </is>
      </c>
      <c r="E89" s="5" t="n">
        <v>3917.74</v>
      </c>
      <c r="F89" s="4" t="inlineStr">
        <is>
          <t>Yes</t>
        </is>
      </c>
      <c r="G89" s="6">
        <f>IFERROR(INDEX(Settings!$B$5:$B$18,MATCH(C89,Settings!$A$5:$A$18,0)),0)</f>
        <v/>
      </c>
      <c r="H89" s="5">
        <f>IF(F89="Yes",ROUND(E89*G89,2),0)</f>
        <v/>
      </c>
      <c r="I89" s="22" t="inlineStr">
        <is>
          <t>(from Assurance payment notices - email)</t>
        </is>
      </c>
      <c r="J89" s="22" t="inlineStr">
        <is>
          <t>mortgage (actual)</t>
        </is>
      </c>
    </row>
    <row r="90">
      <c r="A90" s="4" t="inlineStr">
        <is>
          <t>2026-04-08</t>
        </is>
      </c>
      <c r="B90" s="4" t="inlineStr">
        <is>
          <t>Entergy (Electric)</t>
        </is>
      </c>
      <c r="C90" s="4" t="inlineStr">
        <is>
          <t>Utilities</t>
        </is>
      </c>
      <c r="D90" s="4" t="inlineStr">
        <is>
          <t>from email - PDF on file unparseable</t>
        </is>
      </c>
      <c r="E90" s="5" t="n">
        <v>472.14</v>
      </c>
      <c r="F90" s="4" t="inlineStr">
        <is>
          <t>Yes</t>
        </is>
      </c>
      <c r="G90" s="6">
        <f>IFERROR(INDEX(Settings!$B$5:$B$18,MATCH(C90,Settings!$A$5:$A$18,0)),0)</f>
        <v/>
      </c>
      <c r="H90" s="5">
        <f>IF(F90="Yes",ROUND(E90*G90,2),0)</f>
        <v/>
      </c>
      <c r="I90" s="22" t="inlineStr">
        <is>
          <t>(from Gmail sweep 2026-07-18)</t>
        </is>
      </c>
      <c r="J90" s="22" t="inlineStr">
        <is>
          <t>email-sourced</t>
        </is>
      </c>
    </row>
    <row r="91">
      <c r="A91" s="4" t="inlineStr">
        <is>
          <t>2026-04-10</t>
        </is>
      </c>
      <c r="B91" s="4" t="inlineStr">
        <is>
          <t>PODS (Storage)</t>
        </is>
      </c>
      <c r="C91" s="4" t="inlineStr">
        <is>
          <t>Storage</t>
        </is>
      </c>
      <c r="D91" s="4" t="inlineStr">
        <is>
          <t>recurring rate from PODS order (email)</t>
        </is>
      </c>
      <c r="E91" s="5" t="n">
        <v>279</v>
      </c>
      <c r="F91" s="4" t="inlineStr">
        <is>
          <t>Yes</t>
        </is>
      </c>
      <c r="G91" s="6">
        <f>IFERROR(INDEX(Settings!$B$5:$B$18,MATCH(C91,Settings!$A$5:$A$18,0)),0)</f>
        <v/>
      </c>
      <c r="H91" s="5">
        <f>IF(F91="Yes",ROUND(E91*G91,2),0)</f>
        <v/>
      </c>
      <c r="I91" s="22" t="inlineStr">
        <is>
          <t>(from Gmail sweep 2026-07-18)</t>
        </is>
      </c>
      <c r="J91" s="22" t="inlineStr">
        <is>
          <t>email-sourced</t>
        </is>
      </c>
    </row>
    <row r="92">
      <c r="A92" s="4" t="inlineStr">
        <is>
          <t>2026-04-13</t>
        </is>
      </c>
      <c r="B92" s="4" t="inlineStr">
        <is>
          <t>Atmos (Gas)</t>
        </is>
      </c>
      <c r="C92" s="4" t="inlineStr">
        <is>
          <t>Utilities</t>
        </is>
      </c>
      <c r="D92" s="4" t="inlineStr">
        <is>
          <t>Gas current charges (bill 4/13/26; May showed credit balance)</t>
        </is>
      </c>
      <c r="E92" s="5" t="n">
        <v>51.74</v>
      </c>
      <c r="F92" s="4" t="inlineStr">
        <is>
          <t>Yes</t>
        </is>
      </c>
      <c r="G92" s="6">
        <f>IFERROR(INDEX(Settings!$B$5:$B$18,MATCH(C92,Settings!$A$5:$A$18,0)),0)</f>
        <v/>
      </c>
      <c r="H92" s="5">
        <f>IF(F92="Yes",ROUND(E92*G92,2),0)</f>
        <v/>
      </c>
      <c r="I92" s="22" t="inlineStr">
        <is>
          <t>(from Gmail sweep 2026-07-18)</t>
        </is>
      </c>
      <c r="J92" s="22" t="inlineStr">
        <is>
          <t>email-sourced</t>
        </is>
      </c>
    </row>
    <row r="93">
      <c r="A93" s="4" t="inlineStr">
        <is>
          <t>2026-04-21</t>
        </is>
      </c>
      <c r="B93" s="4" t="inlineStr">
        <is>
          <t>St Luke's School (FACTS)</t>
        </is>
      </c>
      <c r="C93" s="4" t="inlineStr">
        <is>
          <t>School/Tuition</t>
        </is>
      </c>
      <c r="D93" s="4" t="inlineStr">
        <is>
          <t>Softball $175 + After Care $16 (invoice 690124466)</t>
        </is>
      </c>
      <c r="E93" s="5" t="n">
        <v>191</v>
      </c>
      <c r="F93" s="4" t="inlineStr">
        <is>
          <t>Yes</t>
        </is>
      </c>
      <c r="G93" s="6">
        <f>IFERROR(INDEX(Settings!$B$5:$B$18,MATCH(C93,Settings!$A$5:$A$18,0)),0)</f>
        <v/>
      </c>
      <c r="H93" s="5">
        <f>IF(F93="Yes",ROUND(E93*G93,2),0)</f>
        <v/>
      </c>
      <c r="I93" s="22" t="inlineStr">
        <is>
          <t>(from Gmail sweep 2026-07-18)</t>
        </is>
      </c>
      <c r="J93" s="22" t="inlineStr">
        <is>
          <t>email-sourced</t>
        </is>
      </c>
    </row>
    <row r="94">
      <c r="A94" s="4" t="inlineStr">
        <is>
          <t>2026-04-24</t>
        </is>
      </c>
      <c r="B94" s="4" t="inlineStr">
        <is>
          <t>AT&amp;T Business (Pearsons Luggage)</t>
        </is>
      </c>
      <c r="C94" s="4" t="inlineStr">
        <is>
          <t>AT&amp;T Business</t>
        </is>
      </c>
      <c r="D94" s="4" t="inlineStr">
        <is>
          <t>Her portion of shared wireless plan (family bill)</t>
        </is>
      </c>
      <c r="E94" s="5" t="n">
        <v>100</v>
      </c>
      <c r="F94" s="4" t="inlineStr">
        <is>
          <t>Yes</t>
        </is>
      </c>
      <c r="G94" s="7" t="inlineStr">
        <is>
          <t>flat $100</t>
        </is>
      </c>
      <c r="H94" s="5" t="n">
        <v>100</v>
      </c>
      <c r="I94" s="22" t="inlineStr">
        <is>
          <t>(shared family wireless plan - statement available on request)</t>
        </is>
      </c>
      <c r="J94" s="22" t="inlineStr">
        <is>
          <t>email-sourced | $100/mo portion per agreement</t>
        </is>
      </c>
    </row>
    <row r="95">
      <c r="A95" s="4" t="inlineStr">
        <is>
          <t>2026-04-28</t>
        </is>
      </c>
      <c r="B95" s="4" t="inlineStr">
        <is>
          <t>Moving/Packing</t>
        </is>
      </c>
      <c r="C95" s="4" t="inlineStr">
        <is>
          <t>Moving/Household</t>
        </is>
      </c>
      <c r="D95" s="4" t="inlineStr">
        <is>
          <t>Moving &amp; packing — agreed total $2,000 (her belongings); remainder beyond documented payments</t>
        </is>
      </c>
      <c r="E95" s="5" t="n">
        <v>1600</v>
      </c>
      <c r="F95" s="4" t="inlineStr">
        <is>
          <t>Yes</t>
        </is>
      </c>
      <c r="G95" s="6">
        <f>IFERROR(INDEX(Settings!$B$5:$B$18,MATCH(C95,Settings!$A$5:$A$18,0)),0)</f>
        <v/>
      </c>
      <c r="H95" s="5">
        <f>IF(F95="Yes",ROUND(E95*G95,2),0)</f>
        <v/>
      </c>
      <c r="I95" s="22" t="inlineStr">
        <is>
          <t>(manual entry - config.json)</t>
        </is>
      </c>
      <c r="J95" s="22" t="inlineStr">
        <is>
          <t>manual</t>
        </is>
      </c>
    </row>
    <row r="96">
      <c r="A96" s="4" t="inlineStr">
        <is>
          <t>2026-05-08</t>
        </is>
      </c>
      <c r="B96" s="4" t="inlineStr">
        <is>
          <t>Pool (Fernando)</t>
        </is>
      </c>
      <c r="C96" s="4" t="inlineStr">
        <is>
          <t>Pool</t>
        </is>
      </c>
      <c r="D96" s="4" t="inlineStr">
        <is>
          <t>inv#3435 from email</t>
        </is>
      </c>
      <c r="E96" s="5" t="n">
        <v>425</v>
      </c>
      <c r="F96" s="4" t="inlineStr">
        <is>
          <t>Yes</t>
        </is>
      </c>
      <c r="G96" s="6">
        <f>IFERROR(INDEX(Settings!$B$5:$B$18,MATCH(C96,Settings!$A$5:$A$18,0)),0)</f>
        <v/>
      </c>
      <c r="H96" s="5">
        <f>IF(F96="Yes",ROUND(E96*G96,2),0)</f>
        <v/>
      </c>
      <c r="I96" s="22" t="inlineStr">
        <is>
          <t>(from Gmail sweep 2026-07-18)</t>
        </is>
      </c>
      <c r="J96" s="22" t="inlineStr">
        <is>
          <t>email-sourced</t>
        </is>
      </c>
    </row>
    <row r="97">
      <c r="A97" s="4" t="inlineStr">
        <is>
          <t>2026-05-15</t>
        </is>
      </c>
      <c r="B97" s="4" t="inlineStr">
        <is>
          <t>PODS (Storage)</t>
        </is>
      </c>
      <c r="C97" s="4" t="inlineStr">
        <is>
          <t>Storage</t>
        </is>
      </c>
      <c r="D97" s="4" t="inlineStr">
        <is>
          <t>final month + pickup fee 51.75 (email)</t>
        </is>
      </c>
      <c r="E97" s="5" t="n">
        <v>330.75</v>
      </c>
      <c r="F97" s="4" t="inlineStr">
        <is>
          <t>Yes</t>
        </is>
      </c>
      <c r="G97" s="6">
        <f>IFERROR(INDEX(Settings!$B$5:$B$18,MATCH(C97,Settings!$A$5:$A$18,0)),0)</f>
        <v/>
      </c>
      <c r="H97" s="5">
        <f>IF(F97="Yes",ROUND(E97*G97,2),0)</f>
        <v/>
      </c>
      <c r="I97" s="22" t="inlineStr">
        <is>
          <t>(from Gmail sweep 2026-07-18)</t>
        </is>
      </c>
      <c r="J97" s="22" t="inlineStr">
        <is>
          <t>email-sourced</t>
        </is>
      </c>
    </row>
    <row r="98">
      <c r="A98" s="4" t="inlineStr">
        <is>
          <t>2026-05-24</t>
        </is>
      </c>
      <c r="B98" s="4" t="inlineStr">
        <is>
          <t>AT&amp;T Business (Pearsons Luggage)</t>
        </is>
      </c>
      <c r="C98" s="4" t="inlineStr">
        <is>
          <t>AT&amp;T Business</t>
        </is>
      </c>
      <c r="D98" s="4" t="inlineStr">
        <is>
          <t>Her portion of shared wireless plan (family bill)</t>
        </is>
      </c>
      <c r="E98" s="5" t="n">
        <v>100</v>
      </c>
      <c r="F98" s="4" t="inlineStr">
        <is>
          <t>Yes</t>
        </is>
      </c>
      <c r="G98" s="7" t="inlineStr">
        <is>
          <t>flat $100</t>
        </is>
      </c>
      <c r="H98" s="5" t="n">
        <v>100</v>
      </c>
      <c r="I98" s="22" t="inlineStr">
        <is>
          <t>(shared family wireless plan - statement available on request)</t>
        </is>
      </c>
      <c r="J98" s="22" t="inlineStr">
        <is>
          <t>email-sourced | $100/mo portion per agreement</t>
        </is>
      </c>
    </row>
    <row r="99">
      <c r="A99" s="4" t="inlineStr">
        <is>
          <t>2026-05-31</t>
        </is>
      </c>
      <c r="B99" s="4" t="inlineStr">
        <is>
          <t>De Roman's Construction</t>
        </is>
      </c>
      <c r="C99" s="4" t="inlineStr">
        <is>
          <t>Construction &amp; Home Improvements</t>
        </is>
      </c>
      <c r="D99" s="4" t="inlineStr">
        <is>
          <t>inv#0001127 - shower &amp; laundry room completion, realtor punch list (paid)</t>
        </is>
      </c>
      <c r="E99" s="5" t="n">
        <v>10300</v>
      </c>
      <c r="F99" s="4" t="inlineStr">
        <is>
          <t>Yes</t>
        </is>
      </c>
      <c r="G99" s="6">
        <f>IFERROR(INDEX(Settings!$B$5:$B$18,MATCH(C99,Settings!$A$5:$A$18,0)),0)</f>
        <v/>
      </c>
      <c r="H99" s="5">
        <f>IF(F99="Yes",ROUND(E99*G99,2),0)</f>
        <v/>
      </c>
      <c r="I99" s="22" t="inlineStr">
        <is>
          <t>(from Gmail sweep 2026-07-18)</t>
        </is>
      </c>
      <c r="J99" s="22" t="inlineStr">
        <is>
          <t>email-sourced</t>
        </is>
      </c>
    </row>
    <row r="100">
      <c r="A100" s="4" t="inlineStr">
        <is>
          <t>2026-06-05</t>
        </is>
      </c>
      <c r="B100" s="4" t="inlineStr">
        <is>
          <t>Hager Painting</t>
        </is>
      </c>
      <c r="C100" s="4" t="inlineStr">
        <is>
          <t>Construction &amp; Home Improvements</t>
        </is>
      </c>
      <c r="D100" s="4" t="inlineStr">
        <is>
          <t>Interior painting at 8792 W Fairway Dr - touch-up and partial painting throughout, plus fully painting six walls. Hager Painting invoice #811012, 6/5/2026 (Rick Hager, 225-954-7206).</t>
        </is>
      </c>
      <c r="E100" s="5" t="n">
        <v>600</v>
      </c>
      <c r="F100" s="4" t="inlineStr">
        <is>
          <t>Yes</t>
        </is>
      </c>
      <c r="G100" s="6">
        <f>IFERROR(INDEX(Settings!$B$5:$B$18,MATCH(C100,Settings!$A$5:$A$18,0)),0)</f>
        <v/>
      </c>
      <c r="H100" s="5">
        <f>IF(F100="Yes",ROUND(E100*G100,2),0)</f>
        <v/>
      </c>
      <c r="I100" s="22" t="inlineStr">
        <is>
          <t>Misc/HagerPainting_Inv811012_June2026.jpg</t>
        </is>
      </c>
      <c r="J100" s="22" t="inlineStr">
        <is>
          <t>manual</t>
        </is>
      </c>
    </row>
    <row r="101">
      <c r="A101" s="4" t="inlineStr">
        <is>
          <t>2026-06-08</t>
        </is>
      </c>
      <c r="B101" s="4" t="inlineStr">
        <is>
          <t>Pool (Fernando)</t>
        </is>
      </c>
      <c r="C101" s="4" t="inlineStr">
        <is>
          <t>Pool</t>
        </is>
      </c>
      <c r="D101" s="4" t="inlineStr">
        <is>
          <t>inv#3526 from email</t>
        </is>
      </c>
      <c r="E101" s="5" t="n">
        <v>460</v>
      </c>
      <c r="F101" s="4" t="inlineStr">
        <is>
          <t>Yes</t>
        </is>
      </c>
      <c r="G101" s="6">
        <f>IFERROR(INDEX(Settings!$B$5:$B$18,MATCH(C101,Settings!$A$5:$A$18,0)),0)</f>
        <v/>
      </c>
      <c r="H101" s="5">
        <f>IF(F101="Yes",ROUND(E101*G101,2),0)</f>
        <v/>
      </c>
      <c r="I101" s="22" t="inlineStr">
        <is>
          <t>(from Gmail sweep 2026-07-18)</t>
        </is>
      </c>
      <c r="J101" s="22" t="inlineStr">
        <is>
          <t>email-sourced</t>
        </is>
      </c>
    </row>
    <row r="102">
      <c r="A102" s="4" t="inlineStr">
        <is>
          <t>2026-06-08</t>
        </is>
      </c>
      <c r="B102" s="4" t="inlineStr">
        <is>
          <t>St Luke's School (FACTS)</t>
        </is>
      </c>
      <c r="C102" s="4" t="inlineStr">
        <is>
          <t>School/Tuition</t>
        </is>
      </c>
      <c r="D102" s="4" t="inlineStr">
        <is>
          <t>Tutoring $100 + After Care $16 (invoice 704723238)</t>
        </is>
      </c>
      <c r="E102" s="5" t="n">
        <v>116</v>
      </c>
      <c r="F102" s="4" t="inlineStr">
        <is>
          <t>Yes</t>
        </is>
      </c>
      <c r="G102" s="6">
        <f>IFERROR(INDEX(Settings!$B$5:$B$18,MATCH(C102,Settings!$A$5:$A$18,0)),0)</f>
        <v/>
      </c>
      <c r="H102" s="5">
        <f>IF(F102="Yes",ROUND(E102*G102,2),0)</f>
        <v/>
      </c>
      <c r="I102" s="22" t="inlineStr">
        <is>
          <t>(from Gmail sweep 2026-07-18)</t>
        </is>
      </c>
      <c r="J102" s="22" t="inlineStr">
        <is>
          <t>email-sourced</t>
        </is>
      </c>
    </row>
    <row r="103">
      <c r="A103" s="4" t="inlineStr">
        <is>
          <t>2026-06-15</t>
        </is>
      </c>
      <c r="B103" s="4" t="inlineStr">
        <is>
          <t>St Luke's School (FACTS)</t>
        </is>
      </c>
      <c r="C103" s="4" t="inlineStr">
        <is>
          <t>School/Tuition</t>
        </is>
      </c>
      <c r="D103" s="4" t="inlineStr">
        <is>
          <t>Library book replacement (invoice 707380812)</t>
        </is>
      </c>
      <c r="E103" s="5" t="n">
        <v>14.64</v>
      </c>
      <c r="F103" s="4" t="inlineStr">
        <is>
          <t>Yes</t>
        </is>
      </c>
      <c r="G103" s="6">
        <f>IFERROR(INDEX(Settings!$B$5:$B$18,MATCH(C103,Settings!$A$5:$A$18,0)),0)</f>
        <v/>
      </c>
      <c r="H103" s="5">
        <f>IF(F103="Yes",ROUND(E103*G103,2),0)</f>
        <v/>
      </c>
      <c r="I103" s="22" t="inlineStr">
        <is>
          <t>(from Gmail sweep 2026-07-18)</t>
        </is>
      </c>
      <c r="J103" s="22" t="inlineStr">
        <is>
          <t>email-sourced</t>
        </is>
      </c>
    </row>
    <row r="104">
      <c r="A104" s="4" t="inlineStr">
        <is>
          <t>2026-06-20</t>
        </is>
      </c>
      <c r="B104" s="4" t="inlineStr">
        <is>
          <t>Helm Paint (Hager Painting)</t>
        </is>
      </c>
      <c r="C104" s="4" t="inlineStr">
        <is>
          <t>Labor</t>
        </is>
      </c>
      <c r="D104" s="4" t="inlineStr">
        <is>
          <t>Paint for sale-prep painting — Helm Paint receipt PR040983, 6/20/2026 (receipt on file: Misc/HelmPaint_PR040983.jpg)</t>
        </is>
      </c>
      <c r="E104" s="5" t="n">
        <v>139.35</v>
      </c>
      <c r="F104" s="4" t="inlineStr">
        <is>
          <t>Yes</t>
        </is>
      </c>
      <c r="G104" s="6">
        <f>IFERROR(INDEX(Settings!$B$5:$B$18,MATCH(C104,Settings!$A$5:$A$18,0)),0)</f>
        <v/>
      </c>
      <c r="H104" s="5">
        <f>IF(F104="Yes",ROUND(E104*G104,2),0)</f>
        <v/>
      </c>
      <c r="I104" s="22" t="inlineStr">
        <is>
          <t>(manual entry - config.json)</t>
        </is>
      </c>
      <c r="J104" s="22" t="inlineStr">
        <is>
          <t>manual</t>
        </is>
      </c>
    </row>
    <row r="105">
      <c r="A105" s="4" t="inlineStr">
        <is>
          <t>2026-06-25</t>
        </is>
      </c>
      <c r="B105" s="4" t="inlineStr">
        <is>
          <t>Pool (Fernando)</t>
        </is>
      </c>
      <c r="C105" s="4" t="inlineStr">
        <is>
          <t>Pool</t>
        </is>
      </c>
      <c r="D105" s="4" t="inlineStr">
        <is>
          <t>Pool service Jun 2026, inv#3576 (5 weekly cleanings x $95, 8792 W Fairway)</t>
        </is>
      </c>
      <c r="E105" s="5" t="n">
        <v>475</v>
      </c>
      <c r="F105" s="4" t="inlineStr">
        <is>
          <t>Yes</t>
        </is>
      </c>
      <c r="G105" s="6">
        <f>IFERROR(INDEX(Settings!$B$5:$B$18,MATCH(C105,Settings!$A$5:$A$18,0)),0)</f>
        <v/>
      </c>
      <c r="H105" s="5">
        <f>IF(F105="Yes",ROUND(E105*G105,2),0)</f>
        <v/>
      </c>
      <c r="I105" s="22" t="inlineStr">
        <is>
          <t>(from Gmail sweep 2026-07-18)</t>
        </is>
      </c>
      <c r="J105" s="22" t="inlineStr">
        <is>
          <t>email-sourced</t>
        </is>
      </c>
    </row>
    <row r="106">
      <c r="A106" s="4" t="inlineStr">
        <is>
          <t>2026-06-29</t>
        </is>
      </c>
      <c r="B106" s="4" t="inlineStr">
        <is>
          <t>Estela Ramos</t>
        </is>
      </c>
      <c r="C106" s="4" t="inlineStr">
        <is>
          <t>Cleaning</t>
        </is>
      </c>
      <c r="D106" s="4" t="inlineStr">
        <is>
          <t>House cleaning at 8792 W Fairway Dr, ahead of sale — paid via Venmo</t>
        </is>
      </c>
      <c r="E106" s="5" t="n">
        <v>175</v>
      </c>
      <c r="F106" s="4" t="inlineStr">
        <is>
          <t>Yes</t>
        </is>
      </c>
      <c r="G106" s="6">
        <f>IFERROR(INDEX(Settings!$B$5:$B$18,MATCH(C106,Settings!$A$5:$A$18,0)),0)</f>
        <v/>
      </c>
      <c r="H106" s="5">
        <f>IF(F106="Yes",ROUND(E106*G106,2),0)</f>
        <v/>
      </c>
      <c r="I106" s="22" t="inlineStr">
        <is>
          <t>(manual entry - config.json)</t>
        </is>
      </c>
      <c r="J106" s="22" t="inlineStr">
        <is>
          <t>manual</t>
        </is>
      </c>
    </row>
    <row r="107">
      <c r="A107" s="4" t="inlineStr">
        <is>
          <t>2026-06-30</t>
        </is>
      </c>
      <c r="B107" s="4" t="inlineStr">
        <is>
          <t>St Luke's School (FACTS)</t>
        </is>
      </c>
      <c r="C107" s="4" t="inlineStr">
        <is>
          <t>School/Tuition</t>
        </is>
      </c>
      <c r="D107" s="4" t="inlineStr">
        <is>
          <t>Remaining tuition payment-plan balance (statement 6/30/26; treated as paid)</t>
        </is>
      </c>
      <c r="E107" s="5" t="n">
        <v>627</v>
      </c>
      <c r="F107" s="4" t="inlineStr">
        <is>
          <t>Yes</t>
        </is>
      </c>
      <c r="G107" s="6">
        <f>IFERROR(INDEX(Settings!$B$5:$B$18,MATCH(C107,Settings!$A$5:$A$18,0)),0)</f>
        <v/>
      </c>
      <c r="H107" s="5">
        <f>IF(F107="Yes",ROUND(E107*G107,2),0)</f>
        <v/>
      </c>
      <c r="I107" s="22" t="inlineStr">
        <is>
          <t>(from Gmail sweep 2026-07-18)</t>
        </is>
      </c>
      <c r="J107" s="22" t="inlineStr">
        <is>
          <t>email-sourced</t>
        </is>
      </c>
    </row>
    <row r="108">
      <c r="A108" s="4" t="inlineStr">
        <is>
          <t>2026-07-10</t>
        </is>
      </c>
      <c r="B108" s="4" t="inlineStr">
        <is>
          <t>St. Thomas More Catholic School (FACTS)</t>
        </is>
      </c>
      <c r="C108" s="4" t="inlineStr">
        <is>
          <t>School/Tuition</t>
        </is>
      </c>
      <c r="D108" s="4" t="inlineStr">
        <is>
          <t>Online application fee for Linen — 7th grade admissions process (ultimately enrolled at St. Jude instead). FACTS payment confirmation: $80.00 + $2.44 service fee.</t>
        </is>
      </c>
      <c r="E108" s="5" t="n">
        <v>82.44</v>
      </c>
      <c r="F108" s="4" t="inlineStr">
        <is>
          <t>Yes</t>
        </is>
      </c>
      <c r="G108" s="6">
        <f>IFERROR(INDEX(Settings!$B$5:$B$18,MATCH(C108,Settings!$A$5:$A$18,0)),0)</f>
        <v/>
      </c>
      <c r="H108" s="5">
        <f>IF(F108="Yes",ROUND(E108*G108,2),0)</f>
        <v/>
      </c>
      <c r="I108" s="22" t="inlineStr">
        <is>
          <t>(manual entry - config.json)</t>
        </is>
      </c>
      <c r="J108" s="22" t="inlineStr">
        <is>
          <t>manual</t>
        </is>
      </c>
    </row>
    <row r="109">
      <c r="A109" s="4" t="inlineStr">
        <is>
          <t>2026-07-18</t>
        </is>
      </c>
      <c r="B109" s="4" t="inlineStr">
        <is>
          <t>Labor</t>
        </is>
      </c>
      <c r="C109" s="4" t="inlineStr">
        <is>
          <t>Labor</t>
        </is>
      </c>
      <c r="D109" s="4" t="inlineStr">
        <is>
          <t>Labor (agreed flat amount)</t>
        </is>
      </c>
      <c r="E109" s="5" t="n">
        <v>3100</v>
      </c>
      <c r="F109" s="4" t="inlineStr">
        <is>
          <t>Yes</t>
        </is>
      </c>
      <c r="G109" s="6">
        <f>IFERROR(INDEX(Settings!$B$5:$B$18,MATCH(C109,Settings!$A$5:$A$18,0)),0)</f>
        <v/>
      </c>
      <c r="H109" s="5">
        <f>IF(F109="Yes",ROUND(E109*G109,2),0)</f>
        <v/>
      </c>
      <c r="I109" s="22" t="inlineStr">
        <is>
          <t>(manual entry - config.json)</t>
        </is>
      </c>
      <c r="J109" s="22" t="inlineStr">
        <is>
          <t>manual</t>
        </is>
      </c>
    </row>
    <row r="110">
      <c r="A110" s="4" t="inlineStr">
        <is>
          <t>2026-07-22</t>
        </is>
      </c>
      <c r="B110" s="4" t="inlineStr">
        <is>
          <t>Kids A/C</t>
        </is>
      </c>
      <c r="C110" s="4" t="inlineStr">
        <is>
          <t>Home Repairs &amp; A/C</t>
        </is>
      </c>
      <c r="D110" s="4" t="inlineStr">
        <is>
          <t>Kids' rooms A/C work — manual ticket per Ned (documentation to follow)</t>
        </is>
      </c>
      <c r="E110" s="5" t="n">
        <v>3600</v>
      </c>
      <c r="F110" s="4" t="inlineStr">
        <is>
          <t>Yes</t>
        </is>
      </c>
      <c r="G110" s="6">
        <f>IFERROR(INDEX(Settings!$B$5:$B$18,MATCH(C110,Settings!$A$5:$A$18,0)),0)</f>
        <v/>
      </c>
      <c r="H110" s="5">
        <f>IF(F110="Yes",ROUND(E110*G110,2),0)</f>
        <v/>
      </c>
      <c r="I110" s="22" t="inlineStr">
        <is>
          <t>(manual entry - config.json)</t>
        </is>
      </c>
      <c r="J110" s="22" t="inlineStr">
        <is>
          <t>manual</t>
        </is>
      </c>
    </row>
    <row r="111">
      <c r="A111" s="4" t="inlineStr">
        <is>
          <t>2026-08-04</t>
        </is>
      </c>
      <c r="B111" s="4" t="inlineStr">
        <is>
          <t>Estela Ramos</t>
        </is>
      </c>
      <c r="C111" s="4" t="inlineStr">
        <is>
          <t>Cleaning</t>
        </is>
      </c>
      <c r="D111" s="4" t="inlineStr">
        <is>
          <t>House cleaning at 8792 W Fairway Dr, ahead of sale — paid via Venmo</t>
        </is>
      </c>
      <c r="E111" s="5" t="n">
        <v>185</v>
      </c>
      <c r="F111" s="4" t="inlineStr">
        <is>
          <t>Yes</t>
        </is>
      </c>
      <c r="G111" s="6">
        <f>IFERROR(INDEX(Settings!$B$5:$B$18,MATCH(C111,Settings!$A$5:$A$18,0)),0)</f>
        <v/>
      </c>
      <c r="H111" s="5">
        <f>IF(F111="Yes",ROUND(E111*G111,2),0)</f>
        <v/>
      </c>
      <c r="I111" s="22" t="inlineStr">
        <is>
          <t>(manual entry - config.json)</t>
        </is>
      </c>
      <c r="J111" s="22" t="inlineStr">
        <is>
          <t>manual</t>
        </is>
      </c>
    </row>
    <row r="112">
      <c r="A112" s="4" t="inlineStr"/>
      <c r="B112" s="4" t="inlineStr">
        <is>
          <t>AT&amp;T Business (Pearsons Luggage)</t>
        </is>
      </c>
      <c r="C112" s="4" t="inlineStr">
        <is>
          <t>AT&amp;T Business</t>
        </is>
      </c>
      <c r="D112" s="4" t="inlineStr">
        <is>
          <t>Her portion of shared wireless plan (family bill)</t>
        </is>
      </c>
      <c r="E112" s="5" t="n">
        <v>100</v>
      </c>
      <c r="F112" s="4" t="inlineStr">
        <is>
          <t>Yes</t>
        </is>
      </c>
      <c r="G112" s="7" t="inlineStr">
        <is>
          <t>flat $100</t>
        </is>
      </c>
      <c r="H112" s="5" t="n">
        <v>100</v>
      </c>
      <c r="I112" s="22" t="inlineStr">
        <is>
          <t>(shared family wireless plan - statement available on request)</t>
        </is>
      </c>
      <c r="J112" s="22" t="inlineStr">
        <is>
          <t xml:space="preserve"> $100/mo portion per agreement</t>
        </is>
      </c>
    </row>
    <row r="113">
      <c r="A113" s="9" t="n"/>
      <c r="B113" s="9" t="n"/>
      <c r="C113" s="9" t="n"/>
      <c r="D113" s="8" t="inlineStr">
        <is>
          <t>TOTALS</t>
        </is>
      </c>
      <c r="E113" s="10">
        <f>SUM(E4:E112)</f>
        <v/>
      </c>
      <c r="F113" s="9" t="n"/>
      <c r="G113" s="9" t="n"/>
      <c r="H113" s="10">
        <f>SUM(H4:H112)</f>
        <v/>
      </c>
      <c r="I113" s="9" t="n"/>
      <c r="J113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3" customWidth="1" min="3" max="3"/>
    <col width="34" customWidth="1" min="4" max="4"/>
  </cols>
  <sheetData>
    <row r="1">
      <c r="A1" s="1" t="inlineStr">
        <is>
          <t>Money you already paid Lindsey (Venmo) — subtracted from what she owes</t>
        </is>
      </c>
    </row>
    <row r="3">
      <c r="A3" s="3" t="inlineStr">
        <is>
          <t>Date</t>
        </is>
      </c>
      <c r="B3" s="3" t="inlineStr">
        <is>
          <t>Description</t>
        </is>
      </c>
      <c r="C3" s="3" t="inlineStr">
        <is>
          <t>Amount</t>
        </is>
      </c>
      <c r="D3" s="3" t="inlineStr">
        <is>
          <t>Source</t>
        </is>
      </c>
    </row>
    <row r="4">
      <c r="A4" s="23" t="inlineStr"/>
      <c r="B4" s="24" t="inlineStr">
        <is>
          <t>None — advances to Lindsey are claimed as a category in the Ledger.</t>
        </is>
      </c>
      <c r="C4" s="10" t="n">
        <v>0</v>
      </c>
      <c r="D4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</cols>
  <sheetData>
    <row r="1">
      <c r="A1" s="1" t="inlineStr">
        <is>
          <t>Her Share by Month</t>
        </is>
      </c>
    </row>
    <row r="3">
      <c r="A3" s="3" t="inlineStr">
        <is>
          <t>Month</t>
        </is>
      </c>
      <c r="B3" s="3" t="inlineStr">
        <is>
          <t>Billed Amount</t>
        </is>
      </c>
      <c r="C3" s="3" t="inlineStr">
        <is>
          <t>Her Share</t>
        </is>
      </c>
    </row>
    <row r="4">
      <c r="A4" s="4" t="inlineStr">
        <is>
          <t>2024-08</t>
        </is>
      </c>
      <c r="B4" s="5">
        <f>SUMPRODUCT((LEFT(Ledger!$A$4:$A$112,7)="2024-08")*Ledger!$E$4:$E$112)</f>
        <v/>
      </c>
      <c r="C4" s="5">
        <f>SUMPRODUCT((LEFT(Ledger!$A$4:$A$112,7)="2024-08")*Ledger!$H$4:$H$112)</f>
        <v/>
      </c>
    </row>
    <row r="5">
      <c r="A5" s="4" t="inlineStr">
        <is>
          <t>2024-09</t>
        </is>
      </c>
      <c r="B5" s="5">
        <f>SUMPRODUCT((LEFT(Ledger!$A$4:$A$112,7)="2024-09")*Ledger!$E$4:$E$112)</f>
        <v/>
      </c>
      <c r="C5" s="5">
        <f>SUMPRODUCT((LEFT(Ledger!$A$4:$A$112,7)="2024-09")*Ledger!$H$4:$H$112)</f>
        <v/>
      </c>
    </row>
    <row r="6">
      <c r="A6" s="4" t="inlineStr">
        <is>
          <t>2024-10</t>
        </is>
      </c>
      <c r="B6" s="5">
        <f>SUMPRODUCT((LEFT(Ledger!$A$4:$A$112,7)="2024-10")*Ledger!$E$4:$E$112)</f>
        <v/>
      </c>
      <c r="C6" s="5">
        <f>SUMPRODUCT((LEFT(Ledger!$A$4:$A$112,7)="2024-10")*Ledger!$H$4:$H$112)</f>
        <v/>
      </c>
    </row>
    <row r="7">
      <c r="A7" s="4" t="inlineStr">
        <is>
          <t>2024-11</t>
        </is>
      </c>
      <c r="B7" s="5">
        <f>SUMPRODUCT((LEFT(Ledger!$A$4:$A$112,7)="2024-11")*Ledger!$E$4:$E$112)</f>
        <v/>
      </c>
      <c r="C7" s="5">
        <f>SUMPRODUCT((LEFT(Ledger!$A$4:$A$112,7)="2024-11")*Ledger!$H$4:$H$112)</f>
        <v/>
      </c>
    </row>
    <row r="8">
      <c r="A8" s="4" t="inlineStr">
        <is>
          <t>2024-12</t>
        </is>
      </c>
      <c r="B8" s="5">
        <f>SUMPRODUCT((LEFT(Ledger!$A$4:$A$112,7)="2024-12")*Ledger!$E$4:$E$112)</f>
        <v/>
      </c>
      <c r="C8" s="5">
        <f>SUMPRODUCT((LEFT(Ledger!$A$4:$A$112,7)="2024-12")*Ledger!$H$4:$H$112)</f>
        <v/>
      </c>
    </row>
    <row r="9">
      <c r="A9" s="4" t="inlineStr">
        <is>
          <t>2025-01</t>
        </is>
      </c>
      <c r="B9" s="5">
        <f>SUMPRODUCT((LEFT(Ledger!$A$4:$A$112,7)="2025-01")*Ledger!$E$4:$E$112)</f>
        <v/>
      </c>
      <c r="C9" s="5">
        <f>SUMPRODUCT((LEFT(Ledger!$A$4:$A$112,7)="2025-01")*Ledger!$H$4:$H$112)</f>
        <v/>
      </c>
    </row>
    <row r="10">
      <c r="A10" s="4" t="inlineStr">
        <is>
          <t>2025-02</t>
        </is>
      </c>
      <c r="B10" s="5">
        <f>SUMPRODUCT((LEFT(Ledger!$A$4:$A$112,7)="2025-02")*Ledger!$E$4:$E$112)</f>
        <v/>
      </c>
      <c r="C10" s="5">
        <f>SUMPRODUCT((LEFT(Ledger!$A$4:$A$112,7)="2025-02")*Ledger!$H$4:$H$112)</f>
        <v/>
      </c>
    </row>
    <row r="11">
      <c r="A11" s="4" t="inlineStr">
        <is>
          <t>2025-03</t>
        </is>
      </c>
      <c r="B11" s="5">
        <f>SUMPRODUCT((LEFT(Ledger!$A$4:$A$112,7)="2025-03")*Ledger!$E$4:$E$112)</f>
        <v/>
      </c>
      <c r="C11" s="5">
        <f>SUMPRODUCT((LEFT(Ledger!$A$4:$A$112,7)="2025-03")*Ledger!$H$4:$H$112)</f>
        <v/>
      </c>
    </row>
    <row r="12">
      <c r="A12" s="4" t="inlineStr">
        <is>
          <t>2025-04</t>
        </is>
      </c>
      <c r="B12" s="5">
        <f>SUMPRODUCT((LEFT(Ledger!$A$4:$A$112,7)="2025-04")*Ledger!$E$4:$E$112)</f>
        <v/>
      </c>
      <c r="C12" s="5">
        <f>SUMPRODUCT((LEFT(Ledger!$A$4:$A$112,7)="2025-04")*Ledger!$H$4:$H$112)</f>
        <v/>
      </c>
    </row>
    <row r="13">
      <c r="A13" s="4" t="inlineStr">
        <is>
          <t>2025-05</t>
        </is>
      </c>
      <c r="B13" s="5">
        <f>SUMPRODUCT((LEFT(Ledger!$A$4:$A$112,7)="2025-05")*Ledger!$E$4:$E$112)</f>
        <v/>
      </c>
      <c r="C13" s="5">
        <f>SUMPRODUCT((LEFT(Ledger!$A$4:$A$112,7)="2025-05")*Ledger!$H$4:$H$112)</f>
        <v/>
      </c>
    </row>
    <row r="14">
      <c r="A14" s="4" t="inlineStr">
        <is>
          <t>2025-06</t>
        </is>
      </c>
      <c r="B14" s="5">
        <f>SUMPRODUCT((LEFT(Ledger!$A$4:$A$112,7)="2025-06")*Ledger!$E$4:$E$112)</f>
        <v/>
      </c>
      <c r="C14" s="5">
        <f>SUMPRODUCT((LEFT(Ledger!$A$4:$A$112,7)="2025-06")*Ledger!$H$4:$H$112)</f>
        <v/>
      </c>
    </row>
    <row r="15">
      <c r="A15" s="4" t="inlineStr">
        <is>
          <t>2025-07</t>
        </is>
      </c>
      <c r="B15" s="5">
        <f>SUMPRODUCT((LEFT(Ledger!$A$4:$A$112,7)="2025-07")*Ledger!$E$4:$E$112)</f>
        <v/>
      </c>
      <c r="C15" s="5">
        <f>SUMPRODUCT((LEFT(Ledger!$A$4:$A$112,7)="2025-07")*Ledger!$H$4:$H$112)</f>
        <v/>
      </c>
    </row>
    <row r="16">
      <c r="A16" s="4" t="inlineStr">
        <is>
          <t>2025-08</t>
        </is>
      </c>
      <c r="B16" s="5">
        <f>SUMPRODUCT((LEFT(Ledger!$A$4:$A$112,7)="2025-08")*Ledger!$E$4:$E$112)</f>
        <v/>
      </c>
      <c r="C16" s="5">
        <f>SUMPRODUCT((LEFT(Ledger!$A$4:$A$112,7)="2025-08")*Ledger!$H$4:$H$112)</f>
        <v/>
      </c>
    </row>
    <row r="17">
      <c r="A17" s="4" t="inlineStr">
        <is>
          <t>2025-09</t>
        </is>
      </c>
      <c r="B17" s="5">
        <f>SUMPRODUCT((LEFT(Ledger!$A$4:$A$112,7)="2025-09")*Ledger!$E$4:$E$112)</f>
        <v/>
      </c>
      <c r="C17" s="5">
        <f>SUMPRODUCT((LEFT(Ledger!$A$4:$A$112,7)="2025-09")*Ledger!$H$4:$H$112)</f>
        <v/>
      </c>
    </row>
    <row r="18">
      <c r="A18" s="4" t="inlineStr">
        <is>
          <t>2025-10</t>
        </is>
      </c>
      <c r="B18" s="5">
        <f>SUMPRODUCT((LEFT(Ledger!$A$4:$A$112,7)="2025-10")*Ledger!$E$4:$E$112)</f>
        <v/>
      </c>
      <c r="C18" s="5">
        <f>SUMPRODUCT((LEFT(Ledger!$A$4:$A$112,7)="2025-10")*Ledger!$H$4:$H$112)</f>
        <v/>
      </c>
    </row>
    <row r="19">
      <c r="A19" s="4" t="inlineStr">
        <is>
          <t>2025-11</t>
        </is>
      </c>
      <c r="B19" s="5">
        <f>SUMPRODUCT((LEFT(Ledger!$A$4:$A$112,7)="2025-11")*Ledger!$E$4:$E$112)</f>
        <v/>
      </c>
      <c r="C19" s="5">
        <f>SUMPRODUCT((LEFT(Ledger!$A$4:$A$112,7)="2025-11")*Ledger!$H$4:$H$112)</f>
        <v/>
      </c>
    </row>
    <row r="20">
      <c r="A20" s="4" t="inlineStr">
        <is>
          <t>2025-12</t>
        </is>
      </c>
      <c r="B20" s="5">
        <f>SUMPRODUCT((LEFT(Ledger!$A$4:$A$112,7)="2025-12")*Ledger!$E$4:$E$112)</f>
        <v/>
      </c>
      <c r="C20" s="5">
        <f>SUMPRODUCT((LEFT(Ledger!$A$4:$A$112,7)="2025-12")*Ledger!$H$4:$H$112)</f>
        <v/>
      </c>
    </row>
    <row r="21">
      <c r="A21" s="4" t="inlineStr">
        <is>
          <t>2026-01</t>
        </is>
      </c>
      <c r="B21" s="5">
        <f>SUMPRODUCT((LEFT(Ledger!$A$4:$A$112,7)="2026-01")*Ledger!$E$4:$E$112)</f>
        <v/>
      </c>
      <c r="C21" s="5">
        <f>SUMPRODUCT((LEFT(Ledger!$A$4:$A$112,7)="2026-01")*Ledger!$H$4:$H$112)</f>
        <v/>
      </c>
    </row>
    <row r="22">
      <c r="A22" s="4" t="inlineStr">
        <is>
          <t>2026-02</t>
        </is>
      </c>
      <c r="B22" s="5">
        <f>SUMPRODUCT((LEFT(Ledger!$A$4:$A$112,7)="2026-02")*Ledger!$E$4:$E$112)</f>
        <v/>
      </c>
      <c r="C22" s="5">
        <f>SUMPRODUCT((LEFT(Ledger!$A$4:$A$112,7)="2026-02")*Ledger!$H$4:$H$112)</f>
        <v/>
      </c>
    </row>
    <row r="23">
      <c r="A23" s="4" t="inlineStr">
        <is>
          <t>2026-03</t>
        </is>
      </c>
      <c r="B23" s="5">
        <f>SUMPRODUCT((LEFT(Ledger!$A$4:$A$112,7)="2026-03")*Ledger!$E$4:$E$112)</f>
        <v/>
      </c>
      <c r="C23" s="5">
        <f>SUMPRODUCT((LEFT(Ledger!$A$4:$A$112,7)="2026-03")*Ledger!$H$4:$H$112)</f>
        <v/>
      </c>
    </row>
    <row r="24">
      <c r="A24" s="4" t="inlineStr">
        <is>
          <t>2026-04</t>
        </is>
      </c>
      <c r="B24" s="5">
        <f>SUMPRODUCT((LEFT(Ledger!$A$4:$A$112,7)="2026-04")*Ledger!$E$4:$E$112)</f>
        <v/>
      </c>
      <c r="C24" s="5">
        <f>SUMPRODUCT((LEFT(Ledger!$A$4:$A$112,7)="2026-04")*Ledger!$H$4:$H$112)</f>
        <v/>
      </c>
    </row>
    <row r="25">
      <c r="A25" s="4" t="inlineStr">
        <is>
          <t>2026-05</t>
        </is>
      </c>
      <c r="B25" s="5">
        <f>SUMPRODUCT((LEFT(Ledger!$A$4:$A$112,7)="2026-05")*Ledger!$E$4:$E$112)</f>
        <v/>
      </c>
      <c r="C25" s="5">
        <f>SUMPRODUCT((LEFT(Ledger!$A$4:$A$112,7)="2026-05")*Ledger!$H$4:$H$112)</f>
        <v/>
      </c>
    </row>
    <row r="26">
      <c r="A26" s="4" t="inlineStr">
        <is>
          <t>2026-06</t>
        </is>
      </c>
      <c r="B26" s="5">
        <f>SUMPRODUCT((LEFT(Ledger!$A$4:$A$112,7)="2026-06")*Ledger!$E$4:$E$112)</f>
        <v/>
      </c>
      <c r="C26" s="5">
        <f>SUMPRODUCT((LEFT(Ledger!$A$4:$A$112,7)="2026-06")*Ledger!$H$4:$H$112)</f>
        <v/>
      </c>
    </row>
    <row r="27">
      <c r="A27" s="4" t="inlineStr">
        <is>
          <t>2026-07</t>
        </is>
      </c>
      <c r="B27" s="5">
        <f>SUMPRODUCT((LEFT(Ledger!$A$4:$A$112,7)="2026-07")*Ledger!$E$4:$E$112)</f>
        <v/>
      </c>
      <c r="C27" s="5">
        <f>SUMPRODUCT((LEFT(Ledger!$A$4:$A$112,7)="2026-07")*Ledger!$H$4:$H$112)</f>
        <v/>
      </c>
    </row>
    <row r="28">
      <c r="A28" s="4" t="inlineStr">
        <is>
          <t>2026-08</t>
        </is>
      </c>
      <c r="B28" s="5">
        <f>SUMPRODUCT((LEFT(Ledger!$A$4:$A$112,7)="2026-08")*Ledger!$E$4:$E$112)</f>
        <v/>
      </c>
      <c r="C28" s="5">
        <f>SUMPRODUCT((LEFT(Ledger!$A$4:$A$112,7)="2026-08")*Ledger!$H$4:$H$112)</f>
        <v/>
      </c>
    </row>
    <row r="29">
      <c r="A29" s="8" t="inlineStr">
        <is>
          <t>TOTAL</t>
        </is>
      </c>
      <c r="B29" s="10">
        <f>SUM(B4:B28)</f>
        <v/>
      </c>
      <c r="C29" s="10">
        <f>SUM(C4:C28)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40" customWidth="1" min="4" max="4"/>
    <col width="13" customWidth="1" min="5" max="5"/>
    <col width="40" customWidth="1" min="6" max="6"/>
    <col width="34" customWidth="1" min="7" max="7"/>
  </cols>
  <sheetData>
    <row r="1">
      <c r="A1" s="1" t="inlineStr">
        <is>
          <t>Items reviewed but NOT counted (duplicates, invoices already paid, unpaid balances)</t>
        </is>
      </c>
    </row>
    <row r="2">
      <c r="A2" s="2" t="inlineStr">
        <is>
          <t>Shown for full transparency. Nothing here is added to the total.</t>
        </is>
      </c>
    </row>
    <row r="4">
      <c r="A4" s="3" t="inlineStr">
        <is>
          <t>Date</t>
        </is>
      </c>
      <c r="B4" s="3" t="inlineStr">
        <is>
          <t>Vendor</t>
        </is>
      </c>
      <c r="C4" s="3" t="inlineStr">
        <is>
          <t>Category</t>
        </is>
      </c>
      <c r="D4" s="3" t="inlineStr">
        <is>
          <t>Description</t>
        </is>
      </c>
      <c r="E4" s="3" t="inlineStr">
        <is>
          <t>Amount</t>
        </is>
      </c>
      <c r="F4" s="3" t="inlineStr">
        <is>
          <t>Why excluded</t>
        </is>
      </c>
      <c r="G4" s="3" t="inlineStr">
        <is>
          <t>Source File</t>
        </is>
      </c>
    </row>
    <row r="5">
      <c r="A5" s="4" t="inlineStr">
        <is>
          <t>2026-06-24</t>
        </is>
      </c>
      <c r="B5" s="4" t="inlineStr">
        <is>
          <t>AT&amp;T Business (Pearsons Luggage)</t>
        </is>
      </c>
      <c r="C5" s="4" t="inlineStr">
        <is>
          <t>AT&amp;T Business</t>
        </is>
      </c>
      <c r="D5" s="4" t="inlineStr">
        <is>
          <t>Her portion of shared wireless plan (family bill)</t>
        </is>
      </c>
      <c r="E5" s="5" t="n">
        <v>100</v>
      </c>
      <c r="F5" s="25" t="inlineStr">
        <is>
          <t>email-sourced | $100/mo portion per agreement | after AT&amp;T end 2026-05 | before Aug 2024 cutoff</t>
        </is>
      </c>
      <c r="G5" s="22" t="inlineStr">
        <is>
          <t>(shared family wireless plan - statement available on request)</t>
        </is>
      </c>
    </row>
    <row r="6">
      <c r="A6" s="4" t="inlineStr">
        <is>
          <t>2026-07-22</t>
        </is>
      </c>
      <c r="B6" s="4" t="inlineStr">
        <is>
          <t>AT&amp;T Business (Pearsons Luggage)</t>
        </is>
      </c>
      <c r="C6" s="4" t="inlineStr">
        <is>
          <t>AT&amp;T Business</t>
        </is>
      </c>
      <c r="D6" s="4" t="inlineStr">
        <is>
          <t>Her portion of shared wireless plan (family bill)</t>
        </is>
      </c>
      <c r="E6" s="5" t="n">
        <v>100</v>
      </c>
      <c r="F6" s="25" t="inlineStr">
        <is>
          <t>email-sourced | $100/mo portion per agreement | after AT&amp;T end 2026-05 | before Aug 2024 cutoff</t>
        </is>
      </c>
      <c r="G6" s="22" t="inlineStr">
        <is>
          <t>(shared family wireless plan - statement available on request)</t>
        </is>
      </c>
    </row>
    <row r="7">
      <c r="A7" s="4" t="inlineStr"/>
      <c r="B7" s="4" t="inlineStr">
        <is>
          <t>?</t>
        </is>
      </c>
      <c r="C7" s="4" t="inlineStr">
        <is>
          <t>NEEDS REVIEW</t>
        </is>
      </c>
      <c r="D7" s="4" t="inlineStr">
        <is>
          <t>UNRECOGNIZED - please categorize</t>
        </is>
      </c>
      <c r="E7" s="5" t="n"/>
      <c r="F7" s="25" t="inlineStr">
        <is>
          <t>auto-detect failed</t>
        </is>
      </c>
      <c r="G7" s="22" t="inlineStr">
        <is>
          <t>demo.pdf</t>
        </is>
      </c>
    </row>
    <row r="8">
      <c r="A8" s="4" t="inlineStr"/>
      <c r="B8" s="4" t="inlineStr">
        <is>
          <t>?</t>
        </is>
      </c>
      <c r="C8" s="4" t="inlineStr">
        <is>
          <t>NEEDS REVIEW</t>
        </is>
      </c>
      <c r="D8" s="4" t="inlineStr">
        <is>
          <t>UNRECOGNIZED - please categorize</t>
        </is>
      </c>
      <c r="E8" s="5" t="n"/>
      <c r="F8" s="25" t="inlineStr">
        <is>
          <t>auto-detect failed</t>
        </is>
      </c>
      <c r="G8" s="22" t="inlineStr">
        <is>
          <t>demo_docs\vol1.pdf</t>
        </is>
      </c>
    </row>
    <row r="9">
      <c r="A9" s="4" t="inlineStr"/>
      <c r="B9" s="4" t="inlineStr">
        <is>
          <t>?</t>
        </is>
      </c>
      <c r="C9" s="4" t="inlineStr">
        <is>
          <t>NEEDS REVIEW</t>
        </is>
      </c>
      <c r="D9" s="4" t="inlineStr">
        <is>
          <t>UNRECOGNIZED - please categorize</t>
        </is>
      </c>
      <c r="E9" s="5" t="n"/>
      <c r="F9" s="25" t="inlineStr">
        <is>
          <t>auto-detect failed</t>
        </is>
      </c>
      <c r="G9" s="22" t="inlineStr">
        <is>
          <t>demo_docs\vol2.pdf</t>
        </is>
      </c>
    </row>
    <row r="10">
      <c r="A10" s="4" t="inlineStr"/>
      <c r="B10" s="4" t="inlineStr">
        <is>
          <t>?</t>
        </is>
      </c>
      <c r="C10" s="4" t="inlineStr">
        <is>
          <t>NEEDS REVIEW</t>
        </is>
      </c>
      <c r="D10" s="4" t="inlineStr">
        <is>
          <t>UNRECOGNIZED - please categorize</t>
        </is>
      </c>
      <c r="E10" s="5" t="n"/>
      <c r="F10" s="25" t="inlineStr">
        <is>
          <t>auto-detect failed</t>
        </is>
      </c>
      <c r="G10" s="22" t="inlineStr">
        <is>
          <t>demo_docs\vol3.pdf</t>
        </is>
      </c>
    </row>
    <row r="11">
      <c r="A11" s="4" t="inlineStr"/>
      <c r="B11" s="4" t="inlineStr">
        <is>
          <t>?</t>
        </is>
      </c>
      <c r="C11" s="4" t="inlineStr">
        <is>
          <t>NEEDS REVIEW</t>
        </is>
      </c>
      <c r="D11" s="4" t="inlineStr">
        <is>
          <t>UNRECOGNIZED - please categorize</t>
        </is>
      </c>
      <c r="E11" s="5" t="n">
        <v>275</v>
      </c>
      <c r="F11" s="25" t="inlineStr">
        <is>
          <t>auto-detect failed</t>
        </is>
      </c>
      <c r="G11" s="22" t="inlineStr">
        <is>
          <t>docs\proof\Cleaning.pdf</t>
        </is>
      </c>
    </row>
    <row r="12">
      <c r="A12" s="4" t="inlineStr"/>
      <c r="B12" s="4" t="inlineStr">
        <is>
          <t>?</t>
        </is>
      </c>
      <c r="C12" s="4" t="inlineStr">
        <is>
          <t>NEEDS REVIEW</t>
        </is>
      </c>
      <c r="D12" s="4" t="inlineStr">
        <is>
          <t>UNRECOGNIZED - please categorize</t>
        </is>
      </c>
      <c r="E12" s="5" t="n">
        <v>10300</v>
      </c>
      <c r="F12" s="25" t="inlineStr">
        <is>
          <t>auto-detect failed</t>
        </is>
      </c>
      <c r="G12" s="22" t="inlineStr">
        <is>
          <t>docs\proof\ConstructionHomeImprovements.pdf</t>
        </is>
      </c>
    </row>
    <row r="13">
      <c r="A13" s="4" t="inlineStr"/>
      <c r="B13" s="4" t="inlineStr">
        <is>
          <t>?</t>
        </is>
      </c>
      <c r="C13" s="4" t="inlineStr">
        <is>
          <t>NEEDS REVIEW</t>
        </is>
      </c>
      <c r="D13" s="4" t="inlineStr">
        <is>
          <t>UNRECOGNIZED - please categorize</t>
        </is>
      </c>
      <c r="E13" s="5" t="n">
        <v>3600</v>
      </c>
      <c r="F13" s="25" t="inlineStr">
        <is>
          <t>auto-detect failed</t>
        </is>
      </c>
      <c r="G13" s="22" t="inlineStr">
        <is>
          <t>docs\proof\HomeRepairsAC.pdf</t>
        </is>
      </c>
    </row>
    <row r="14">
      <c r="A14" s="4" t="inlineStr"/>
      <c r="B14" s="4" t="inlineStr">
        <is>
          <t>?</t>
        </is>
      </c>
      <c r="C14" s="4" t="inlineStr">
        <is>
          <t>NEEDS REVIEW</t>
        </is>
      </c>
      <c r="D14" s="4" t="inlineStr">
        <is>
          <t>UNRECOGNIZED - please categorize</t>
        </is>
      </c>
      <c r="E14" s="5" t="n">
        <v>3100</v>
      </c>
      <c r="F14" s="25" t="inlineStr">
        <is>
          <t>auto-detect failed</t>
        </is>
      </c>
      <c r="G14" s="22" t="inlineStr">
        <is>
          <t>docs\proof\Labor.pdf</t>
        </is>
      </c>
    </row>
    <row r="15">
      <c r="A15" s="4" t="inlineStr"/>
      <c r="B15" s="4" t="inlineStr">
        <is>
          <t>?</t>
        </is>
      </c>
      <c r="C15" s="4" t="inlineStr">
        <is>
          <t>NEEDS REVIEW</t>
        </is>
      </c>
      <c r="D15" s="4" t="inlineStr">
        <is>
          <t>UNRECOGNIZED - please categorize</t>
        </is>
      </c>
      <c r="E15" s="5" t="n">
        <v>3917.74</v>
      </c>
      <c r="F15" s="25" t="inlineStr">
        <is>
          <t>auto-detect failed</t>
        </is>
      </c>
      <c r="G15" s="22" t="inlineStr">
        <is>
          <t>docs\proof\Mortgage.pdf</t>
        </is>
      </c>
    </row>
    <row r="16">
      <c r="A16" s="4" t="inlineStr"/>
      <c r="B16" s="4" t="inlineStr">
        <is>
          <t>?</t>
        </is>
      </c>
      <c r="C16" s="4" t="inlineStr">
        <is>
          <t>NEEDS REVIEW</t>
        </is>
      </c>
      <c r="D16" s="4" t="inlineStr">
        <is>
          <t>UNRECOGNIZED - please categorize</t>
        </is>
      </c>
      <c r="E16" s="5" t="n">
        <v>1600</v>
      </c>
      <c r="F16" s="25" t="inlineStr">
        <is>
          <t>auto-detect failed</t>
        </is>
      </c>
      <c r="G16" s="22" t="inlineStr">
        <is>
          <t>docs\proof\MovingHousehold.pdf</t>
        </is>
      </c>
    </row>
    <row r="17">
      <c r="A17" s="4" t="inlineStr"/>
      <c r="B17" s="4" t="inlineStr">
        <is>
          <t>?</t>
        </is>
      </c>
      <c r="C17" s="4" t="inlineStr">
        <is>
          <t>NEEDS REVIEW</t>
        </is>
      </c>
      <c r="D17" s="4" t="inlineStr">
        <is>
          <t>UNRECOGNIZED - please categorize</t>
        </is>
      </c>
      <c r="E17" s="5" t="n">
        <v>330.75</v>
      </c>
      <c r="F17" s="25" t="inlineStr">
        <is>
          <t>auto-detect failed</t>
        </is>
      </c>
      <c r="G17" s="22" t="inlineStr">
        <is>
          <t>docs\proof\Storage.pdf</t>
        </is>
      </c>
    </row>
    <row r="18">
      <c r="A18" s="4" t="inlineStr"/>
      <c r="B18" s="4" t="inlineStr">
        <is>
          <t>Pool (Fernando)</t>
        </is>
      </c>
      <c r="C18" s="4" t="inlineStr">
        <is>
          <t>Pool</t>
        </is>
      </c>
      <c r="D18" s="4" t="inlineStr">
        <is>
          <t>Pool service inv#?</t>
        </is>
      </c>
      <c r="E18" s="5" t="n">
        <v>0</v>
      </c>
      <c r="F18" s="25" t="inlineStr">
        <is>
          <t>no date/amount readable - moved to Review</t>
        </is>
      </c>
      <c r="G18" s="22" t="inlineStr">
        <is>
          <t>docs\proof\Pool.pdf</t>
        </is>
      </c>
    </row>
    <row r="19">
      <c r="A19" s="4" t="inlineStr"/>
      <c r="B19" s="4" t="inlineStr">
        <is>
          <t>Pool (Fernando)</t>
        </is>
      </c>
      <c r="C19" s="4" t="inlineStr">
        <is>
          <t>Pool</t>
        </is>
      </c>
      <c r="D19" s="4" t="inlineStr">
        <is>
          <t>Pool service inv#?</t>
        </is>
      </c>
      <c r="E19" s="5" t="n">
        <v>0</v>
      </c>
      <c r="F19" s="25" t="inlineStr">
        <is>
          <t>no date/amount readable - moved to Review</t>
        </is>
      </c>
      <c r="G19" s="22" t="inlineStr">
        <is>
          <t>docs\proof\vol2.pdf</t>
        </is>
      </c>
    </row>
    <row r="20">
      <c r="A20" s="4" t="inlineStr">
        <is>
          <t>2025-01-25</t>
        </is>
      </c>
      <c r="B20" s="4" t="inlineStr">
        <is>
          <t>Pool (Fernando) — James pool</t>
        </is>
      </c>
      <c r="C20" s="4" t="inlineStr">
        <is>
          <t>Pool</t>
        </is>
      </c>
      <c r="D20" s="4" t="inlineStr">
        <is>
          <t>inv#2319 - JAMES POOL, not the Fairway house</t>
        </is>
      </c>
      <c r="E20" s="5" t="n">
        <v>280</v>
      </c>
      <c r="F20" s="25" t="inlineStr">
        <is>
          <t>James pool - excluded per Ned</t>
        </is>
      </c>
      <c r="G20" s="22" t="inlineStr">
        <is>
          <t>(from Gmail sweep 2026-07-18)</t>
        </is>
      </c>
    </row>
    <row r="21">
      <c r="A21" s="4" t="inlineStr">
        <is>
          <t>2025-02-25</t>
        </is>
      </c>
      <c r="B21" s="4" t="inlineStr">
        <is>
          <t>Pool (Fernando) — James pool</t>
        </is>
      </c>
      <c r="C21" s="4" t="inlineStr">
        <is>
          <t>Pool</t>
        </is>
      </c>
      <c r="D21" s="4" t="inlineStr">
        <is>
          <t>inv#2450 - JAMES POOL, not the Fairway house</t>
        </is>
      </c>
      <c r="E21" s="5" t="n">
        <v>350</v>
      </c>
      <c r="F21" s="25" t="inlineStr">
        <is>
          <t>James pool - excluded per Ned</t>
        </is>
      </c>
      <c r="G21" s="22" t="inlineStr">
        <is>
          <t>(from Gmail sweep 2026-07-18)</t>
        </is>
      </c>
    </row>
    <row r="22">
      <c r="A22" s="4" t="inlineStr">
        <is>
          <t>2025-03-14</t>
        </is>
      </c>
      <c r="B22" s="4" t="inlineStr">
        <is>
          <t>Pool (Fernando) — James pool</t>
        </is>
      </c>
      <c r="C22" s="4" t="inlineStr">
        <is>
          <t>Pool</t>
        </is>
      </c>
      <c r="D22" s="4" t="inlineStr">
        <is>
          <t>inv#2507 - JAMES POOL, not the Fairway house</t>
        </is>
      </c>
      <c r="E22" s="5" t="n">
        <v>280</v>
      </c>
      <c r="F22" s="25" t="inlineStr">
        <is>
          <t>James pool - excluded per Ned</t>
        </is>
      </c>
      <c r="G22" s="22" t="inlineStr">
        <is>
          <t>(from Gmail sweep 2026-07-18)</t>
        </is>
      </c>
    </row>
    <row r="23">
      <c r="A23" s="4" t="inlineStr">
        <is>
          <t>2025-06-10</t>
        </is>
      </c>
      <c r="B23" s="4" t="inlineStr">
        <is>
          <t>Pool (Fernando) — James pool</t>
        </is>
      </c>
      <c r="C23" s="4" t="inlineStr">
        <is>
          <t>Pool</t>
        </is>
      </c>
      <c r="D23" s="4" t="inlineStr">
        <is>
          <t>inv#2625 - JAMES POOL, not the Fairway house</t>
        </is>
      </c>
      <c r="E23" s="5" t="n">
        <v>280</v>
      </c>
      <c r="F23" s="25" t="inlineStr">
        <is>
          <t>James pool - excluded per Ned</t>
        </is>
      </c>
      <c r="G23" s="22" t="inlineStr">
        <is>
          <t>(from Gmail sweep 2026-07-18)</t>
        </is>
      </c>
    </row>
    <row r="24">
      <c r="A24" s="4" t="inlineStr">
        <is>
          <t>2025-06-10</t>
        </is>
      </c>
      <c r="B24" s="4" t="inlineStr">
        <is>
          <t>Pool (Fernando) — James pool</t>
        </is>
      </c>
      <c r="C24" s="4" t="inlineStr">
        <is>
          <t>Pool</t>
        </is>
      </c>
      <c r="D24" s="4" t="inlineStr">
        <is>
          <t>inv#2698 - JAMES POOL, not the Fairway house</t>
        </is>
      </c>
      <c r="E24" s="5" t="n">
        <v>350</v>
      </c>
      <c r="F24" s="25" t="inlineStr">
        <is>
          <t>James pool - excluded per Ned</t>
        </is>
      </c>
      <c r="G24" s="22" t="inlineStr">
        <is>
          <t>(from Gmail sweep 2026-07-18)</t>
        </is>
      </c>
    </row>
    <row r="25">
      <c r="A25" s="4" t="inlineStr">
        <is>
          <t>2025-07-03</t>
        </is>
      </c>
      <c r="B25" s="4" t="inlineStr">
        <is>
          <t>Pool (Fernando) — James pool</t>
        </is>
      </c>
      <c r="C25" s="4" t="inlineStr">
        <is>
          <t>Pool</t>
        </is>
      </c>
      <c r="D25" s="4" t="inlineStr">
        <is>
          <t>inv#2766 - JAMES POOL, not the Fairway house</t>
        </is>
      </c>
      <c r="E25" s="5" t="n">
        <v>280</v>
      </c>
      <c r="F25" s="25" t="inlineStr">
        <is>
          <t>James pool - excluded per Ned</t>
        </is>
      </c>
      <c r="G25" s="22" t="inlineStr">
        <is>
          <t>(from Gmail sweep 2026-07-18)</t>
        </is>
      </c>
    </row>
    <row r="26">
      <c r="A26" s="4" t="inlineStr">
        <is>
          <t>2025-08-14</t>
        </is>
      </c>
      <c r="B26" s="4" t="inlineStr">
        <is>
          <t>Pool (Fernando) — James pool</t>
        </is>
      </c>
      <c r="C26" s="4" t="inlineStr">
        <is>
          <t>Pool</t>
        </is>
      </c>
      <c r="D26" s="4" t="inlineStr">
        <is>
          <t>inv#2836 - JAMES POOL, not the Fairway house</t>
        </is>
      </c>
      <c r="E26" s="5" t="n">
        <v>350</v>
      </c>
      <c r="F26" s="25" t="inlineStr">
        <is>
          <t>James pool - excluded per Ned</t>
        </is>
      </c>
      <c r="G26" s="22" t="inlineStr">
        <is>
          <t>(from Gmail sweep 2026-07-18)</t>
        </is>
      </c>
    </row>
    <row r="27">
      <c r="A27" s="4" t="inlineStr">
        <is>
          <t>2025-09-08</t>
        </is>
      </c>
      <c r="B27" s="4" t="inlineStr">
        <is>
          <t>Pool (Fernando) — James pool</t>
        </is>
      </c>
      <c r="C27" s="4" t="inlineStr">
        <is>
          <t>Pool</t>
        </is>
      </c>
      <c r="D27" s="4" t="inlineStr">
        <is>
          <t>inv#2911 - JAMES POOL, not the Fairway house</t>
        </is>
      </c>
      <c r="E27" s="5" t="n">
        <v>280</v>
      </c>
      <c r="F27" s="25" t="inlineStr">
        <is>
          <t>James pool - excluded per Ned</t>
        </is>
      </c>
      <c r="G27" s="22" t="inlineStr">
        <is>
          <t>(from Gmail sweep 2026-07-18)</t>
        </is>
      </c>
    </row>
    <row r="28">
      <c r="A28" s="4" t="inlineStr">
        <is>
          <t>2025-10-14</t>
        </is>
      </c>
      <c r="B28" s="4" t="inlineStr">
        <is>
          <t>Pool (Fernando) — James pool</t>
        </is>
      </c>
      <c r="C28" s="4" t="inlineStr">
        <is>
          <t>Pool</t>
        </is>
      </c>
      <c r="D28" s="4" t="inlineStr">
        <is>
          <t>inv#3008 - JAMES POOL, not the Fairway house</t>
        </is>
      </c>
      <c r="E28" s="5" t="n">
        <v>280</v>
      </c>
      <c r="F28" s="25" t="inlineStr">
        <is>
          <t>James pool - excluded per Ned</t>
        </is>
      </c>
      <c r="G28" s="22" t="inlineStr">
        <is>
          <t>(from Gmail sweep 2026-07-18)</t>
        </is>
      </c>
    </row>
    <row r="29">
      <c r="A29" s="4" t="inlineStr">
        <is>
          <t>2025-11-06</t>
        </is>
      </c>
      <c r="B29" s="4" t="inlineStr">
        <is>
          <t>Pool (Fernando) — James pool</t>
        </is>
      </c>
      <c r="C29" s="4" t="inlineStr">
        <is>
          <t>Pool</t>
        </is>
      </c>
      <c r="D29" s="4" t="inlineStr">
        <is>
          <t>inv#3048 - JAMES POOL, not the Fairway house</t>
        </is>
      </c>
      <c r="E29" s="5" t="n">
        <v>350</v>
      </c>
      <c r="F29" s="25" t="inlineStr">
        <is>
          <t>James pool - excluded per Ned</t>
        </is>
      </c>
      <c r="G29" s="22" t="inlineStr">
        <is>
          <t>(from Gmail sweep 2026-07-18)</t>
        </is>
      </c>
    </row>
    <row r="30">
      <c r="A30" s="4" t="inlineStr">
        <is>
          <t>2025-12-01</t>
        </is>
      </c>
      <c r="B30" s="4" t="inlineStr">
        <is>
          <t>Pool (Fernando) — James pool</t>
        </is>
      </c>
      <c r="C30" s="4" t="inlineStr">
        <is>
          <t>Pool</t>
        </is>
      </c>
      <c r="D30" s="4" t="inlineStr">
        <is>
          <t>inv#3134 - JAMES POOL, not the Fairway house</t>
        </is>
      </c>
      <c r="E30" s="5" t="n">
        <v>280</v>
      </c>
      <c r="F30" s="25" t="inlineStr">
        <is>
          <t>James pool - excluded per Ned</t>
        </is>
      </c>
      <c r="G30" s="22" t="inlineStr">
        <is>
          <t>(from Gmail sweep 2026-07-18)</t>
        </is>
      </c>
    </row>
    <row r="31">
      <c r="A31" s="4" t="inlineStr">
        <is>
          <t>2026-01-05</t>
        </is>
      </c>
      <c r="B31" s="4" t="inlineStr">
        <is>
          <t>Pool (Fernando) — James pool</t>
        </is>
      </c>
      <c r="C31" s="4" t="inlineStr">
        <is>
          <t>Pool</t>
        </is>
      </c>
      <c r="D31" s="4" t="inlineStr">
        <is>
          <t>inv#3189 - JAMES POOL, not the Fairway house</t>
        </is>
      </c>
      <c r="E31" s="5" t="n">
        <v>350</v>
      </c>
      <c r="F31" s="25" t="inlineStr">
        <is>
          <t>James pool - excluded per Ned</t>
        </is>
      </c>
      <c r="G31" s="22" t="inlineStr">
        <is>
          <t>(from Gmail sweep 2026-07-18)</t>
        </is>
      </c>
    </row>
    <row r="32">
      <c r="A32" s="4" t="inlineStr"/>
      <c r="B32" s="4" t="inlineStr">
        <is>
          <t>St Luke's School (FACTS)</t>
        </is>
      </c>
      <c r="C32" s="4" t="inlineStr">
        <is>
          <t>School/Tuition</t>
        </is>
      </c>
      <c r="D32" s="4" t="inlineStr">
        <is>
          <t>Tuition payment — paid by Gerald Pearson</t>
        </is>
      </c>
      <c r="E32" s="5" t="n"/>
      <c r="F32" s="25" t="inlineStr">
        <is>
          <t>no date/amount readable - moved to Review</t>
        </is>
      </c>
      <c r="G32" s="22" t="inlineStr">
        <is>
          <t>docs\proof\SchoolTuition.pdf</t>
        </is>
      </c>
    </row>
    <row r="33">
      <c r="A33" s="4" t="inlineStr"/>
      <c r="B33" s="4" t="inlineStr">
        <is>
          <t>Atmos (Gas)</t>
        </is>
      </c>
      <c r="C33" s="4" t="inlineStr">
        <is>
          <t>Utilities</t>
        </is>
      </c>
      <c r="D33" s="4" t="inlineStr">
        <is>
          <t>Gas current charges</t>
        </is>
      </c>
      <c r="E33" s="5" t="n"/>
      <c r="F33" s="25" t="inlineStr">
        <is>
          <t>no date/amount readable - moved to Review</t>
        </is>
      </c>
      <c r="G33" s="22" t="inlineStr">
        <is>
          <t>docs\proof\Utilities.pdf</t>
        </is>
      </c>
    </row>
    <row r="34">
      <c r="A34" s="4" t="inlineStr"/>
      <c r="B34" s="4" t="inlineStr">
        <is>
          <t>Atmos (Gas)</t>
        </is>
      </c>
      <c r="C34" s="4" t="inlineStr">
        <is>
          <t>Utilities</t>
        </is>
      </c>
      <c r="D34" s="4" t="inlineStr">
        <is>
          <t>Gas current charges</t>
        </is>
      </c>
      <c r="E34" s="5" t="n"/>
      <c r="F34" s="25" t="inlineStr">
        <is>
          <t>no date/amount readable - moved to Review</t>
        </is>
      </c>
      <c r="G34" s="22" t="inlineStr">
        <is>
          <t>docs\proof\vol1.pdf</t>
        </is>
      </c>
    </row>
    <row r="35">
      <c r="A35" s="4" t="inlineStr">
        <is>
          <t>2026-05-07</t>
        </is>
      </c>
      <c r="B35" s="4" t="inlineStr">
        <is>
          <t>Entergy (Electric)</t>
        </is>
      </c>
      <c r="C35" s="4" t="inlineStr">
        <is>
          <t>Utilities</t>
        </is>
      </c>
      <c r="D35" s="4" t="inlineStr">
        <is>
          <t>Electric current charges (bill 5/7/26; total due incl. arrears excluded)</t>
        </is>
      </c>
      <c r="E35" s="5" t="n">
        <v>347</v>
      </c>
      <c r="F35" s="25" t="inlineStr">
        <is>
          <t>email-sourced | after utilities end 2026-04 | before Aug 2024 cutoff</t>
        </is>
      </c>
      <c r="G35" s="22" t="inlineStr">
        <is>
          <t>(from Gmail sweep 2026-07-18)</t>
        </is>
      </c>
    </row>
    <row r="36">
      <c r="A36" s="4" t="inlineStr">
        <is>
          <t>2026-05-12</t>
        </is>
      </c>
      <c r="B36" s="4" t="inlineStr">
        <is>
          <t>Atmos (Gas)</t>
        </is>
      </c>
      <c r="C36" s="4" t="inlineStr">
        <is>
          <t>Utilities</t>
        </is>
      </c>
      <c r="D36" s="4" t="inlineStr">
        <is>
          <t>from email (current charges)</t>
        </is>
      </c>
      <c r="E36" s="5" t="n">
        <v>41.88</v>
      </c>
      <c r="F36" s="25" t="inlineStr">
        <is>
          <t>email-sourced | after utilities end 2026-04 | before Aug 2024 cutoff</t>
        </is>
      </c>
      <c r="G36" s="22" t="inlineStr">
        <is>
          <t>(from Gmail sweep 2026-07-18)</t>
        </is>
      </c>
    </row>
    <row r="37">
      <c r="A37" s="4" t="inlineStr">
        <is>
          <t>2026-05-12</t>
        </is>
      </c>
      <c r="B37" s="4" t="inlineStr">
        <is>
          <t>BR Water</t>
        </is>
      </c>
      <c r="C37" s="4" t="inlineStr">
        <is>
          <t>Utilities</t>
        </is>
      </c>
      <c r="D37" s="4" t="inlineStr">
        <is>
          <t>Irrigation Apr+May 2026 (autopay 5/12/26)</t>
        </is>
      </c>
      <c r="E37" s="5" t="n">
        <v>62.36</v>
      </c>
      <c r="F37" s="25" t="inlineStr">
        <is>
          <t>email-sourced | after utilities end 2026-04 | before Aug 2024 cutoff</t>
        </is>
      </c>
      <c r="G37" s="22" t="inlineStr">
        <is>
          <t>(from Gmail sweep 2026-07-18)</t>
        </is>
      </c>
    </row>
    <row r="38">
      <c r="A38" s="4" t="inlineStr">
        <is>
          <t>2026-05-31</t>
        </is>
      </c>
      <c r="B38" s="4" t="inlineStr">
        <is>
          <t>AT&amp;T Internet</t>
        </is>
      </c>
      <c r="C38" s="4" t="inlineStr">
        <is>
          <t>Utilities</t>
        </is>
      </c>
      <c r="D38" s="4" t="inlineStr">
        <is>
          <t>from email</t>
        </is>
      </c>
      <c r="E38" s="5" t="n">
        <v>160.42</v>
      </c>
      <c r="F38" s="25" t="inlineStr">
        <is>
          <t>email-sourced | after utilities end 2026-04 | before Aug 2024 cutoff</t>
        </is>
      </c>
      <c r="G38" s="22" t="inlineStr">
        <is>
          <t>(from Gmail sweep 2026-07-18)</t>
        </is>
      </c>
    </row>
    <row r="39">
      <c r="A39" s="4" t="inlineStr">
        <is>
          <t>2026-06-06</t>
        </is>
      </c>
      <c r="B39" s="4" t="inlineStr">
        <is>
          <t>Entergy (Electric)</t>
        </is>
      </c>
      <c r="C39" s="4" t="inlineStr">
        <is>
          <t>Utilities</t>
        </is>
      </c>
      <c r="D39" s="4" t="inlineStr">
        <is>
          <t>Electric current charges (bill 6/6/26)</t>
        </is>
      </c>
      <c r="E39" s="5" t="n">
        <v>435.76</v>
      </c>
      <c r="F39" s="25" t="inlineStr">
        <is>
          <t>email-sourced | after utilities end 2026-04 | before Aug 2024 cutoff</t>
        </is>
      </c>
      <c r="G39" s="22" t="inlineStr">
        <is>
          <t>(from Gmail sweep 2026-07-18)</t>
        </is>
      </c>
    </row>
    <row r="40">
      <c r="A40" s="4" t="inlineStr">
        <is>
          <t>2026-06-09</t>
        </is>
      </c>
      <c r="B40" s="4" t="inlineStr">
        <is>
          <t>BR Water</t>
        </is>
      </c>
      <c r="C40" s="4" t="inlineStr">
        <is>
          <t>Utilities</t>
        </is>
      </c>
      <c r="D40" s="4" t="inlineStr">
        <is>
          <t>Irrigation Jun 2026 (autopay)</t>
        </is>
      </c>
      <c r="E40" s="5" t="n">
        <v>18.94</v>
      </c>
      <c r="F40" s="25" t="inlineStr">
        <is>
          <t>email-sourced | after utilities end 2026-04 | before Aug 2024 cutoff</t>
        </is>
      </c>
      <c r="G40" s="22" t="inlineStr">
        <is>
          <t>(from Gmail sweep 2026-07-18)</t>
        </is>
      </c>
    </row>
    <row r="41">
      <c r="A41" s="4" t="inlineStr">
        <is>
          <t>2026-06-10</t>
        </is>
      </c>
      <c r="B41" s="4" t="inlineStr">
        <is>
          <t>Atmos (Gas)</t>
        </is>
      </c>
      <c r="C41" s="4" t="inlineStr">
        <is>
          <t>Utilities</t>
        </is>
      </c>
      <c r="D41" s="4" t="inlineStr">
        <is>
          <t>from email (current charges)</t>
        </is>
      </c>
      <c r="E41" s="5" t="n">
        <v>57.46</v>
      </c>
      <c r="F41" s="25" t="inlineStr">
        <is>
          <t>email-sourced | after utilities end 2026-04 | before Aug 2024 cutoff</t>
        </is>
      </c>
      <c r="G41" s="22" t="inlineStr">
        <is>
          <t>(from Gmail sweep 2026-07-18)</t>
        </is>
      </c>
    </row>
    <row r="42">
      <c r="A42" s="4" t="inlineStr">
        <is>
          <t>2026-06-27</t>
        </is>
      </c>
      <c r="B42" s="4" t="inlineStr">
        <is>
          <t>AT&amp;T Internet</t>
        </is>
      </c>
      <c r="C42" s="4" t="inlineStr">
        <is>
          <t>Utilities</t>
        </is>
      </c>
      <c r="D42" s="4" t="inlineStr">
        <is>
          <t>Internet monthly charge (bill 6/27/26)</t>
        </is>
      </c>
      <c r="E42" s="5" t="n">
        <v>125.42</v>
      </c>
      <c r="F42" s="25" t="inlineStr">
        <is>
          <t>email-sourced | after utilities end 2026-04 | before Aug 2024 cutoff</t>
        </is>
      </c>
      <c r="G42" s="22" t="inlineStr">
        <is>
          <t>(from Gmail sweep 2026-07-18)</t>
        </is>
      </c>
    </row>
    <row r="43">
      <c r="A43" s="4" t="inlineStr">
        <is>
          <t>2026-07-08</t>
        </is>
      </c>
      <c r="B43" s="4" t="inlineStr">
        <is>
          <t>Entergy (Electric)</t>
        </is>
      </c>
      <c r="C43" s="4" t="inlineStr">
        <is>
          <t>Utilities</t>
        </is>
      </c>
      <c r="D43" s="4" t="inlineStr">
        <is>
          <t>Electric current charges (bill 7/8/26; arrears excluded)</t>
        </is>
      </c>
      <c r="E43" s="5" t="n">
        <v>519.0700000000001</v>
      </c>
      <c r="F43" s="25" t="inlineStr">
        <is>
          <t>email-sourced | after utilities end 2026-04 | before Aug 2024 cutoff</t>
        </is>
      </c>
      <c r="G43" s="22" t="inlineStr">
        <is>
          <t>(from Gmail sweep 2026-07-18)</t>
        </is>
      </c>
    </row>
    <row r="44">
      <c r="A44" s="4" t="inlineStr">
        <is>
          <t>2026-07-08</t>
        </is>
      </c>
      <c r="B44" s="4" t="inlineStr">
        <is>
          <t>BR Water</t>
        </is>
      </c>
      <c r="C44" s="4" t="inlineStr">
        <is>
          <t>Utilities</t>
        </is>
      </c>
      <c r="D44" s="4" t="inlineStr">
        <is>
          <t>Water/Sewer Jul 2026 current (payment 7/8/26; separate $400 arrears payment excluded as already-billed)</t>
        </is>
      </c>
      <c r="E44" s="5" t="n">
        <v>90.56999999999999</v>
      </c>
      <c r="F44" s="25" t="inlineStr">
        <is>
          <t>email-sourced | after utilities end 2026-04 | before Aug 2024 cutoff</t>
        </is>
      </c>
      <c r="G44" s="22" t="inlineStr">
        <is>
          <t>(from Gmail sweep 2026-07-18)</t>
        </is>
      </c>
    </row>
    <row r="45">
      <c r="A45" s="4" t="inlineStr">
        <is>
          <t>2026-07-09</t>
        </is>
      </c>
      <c r="B45" s="4" t="inlineStr">
        <is>
          <t>BR Water</t>
        </is>
      </c>
      <c r="C45" s="4" t="inlineStr">
        <is>
          <t>Utilities</t>
        </is>
      </c>
      <c r="D45" s="4" t="inlineStr">
        <is>
          <t>Irrigation Jul 2026 (autopay)</t>
        </is>
      </c>
      <c r="E45" s="5" t="n">
        <v>12.39</v>
      </c>
      <c r="F45" s="25" t="inlineStr">
        <is>
          <t>email-sourced | after utilities end 2026-04 | before Aug 2024 cutoff</t>
        </is>
      </c>
      <c r="G45" s="22" t="inlineStr">
        <is>
          <t>(from Gmail sweep 2026-07-18)</t>
        </is>
      </c>
    </row>
    <row r="46">
      <c r="A46" s="4" t="inlineStr">
        <is>
          <t>2026-07-13</t>
        </is>
      </c>
      <c r="B46" s="4" t="inlineStr">
        <is>
          <t>Atmos (Gas)</t>
        </is>
      </c>
      <c r="C46" s="4" t="inlineStr">
        <is>
          <t>Utilities</t>
        </is>
      </c>
      <c r="D46" s="4" t="inlineStr">
        <is>
          <t>from email (current charges)</t>
        </is>
      </c>
      <c r="E46" s="5" t="n">
        <v>50.83</v>
      </c>
      <c r="F46" s="25" t="inlineStr">
        <is>
          <t>email-sourced | after utilities end 2026-04 | before Aug 2024 cutoff</t>
        </is>
      </c>
      <c r="G46" s="22" t="inlineStr">
        <is>
          <t>(from Gmail sweep 2026-07-18)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95" customWidth="1" min="4" max="4"/>
  </cols>
  <sheetData>
    <row r="1">
      <c r="A1" s="1" t="inlineStr">
        <is>
          <t>Missing Bills — months with no bill on file (Aug 2024 – Jul 2026)</t>
        </is>
      </c>
    </row>
    <row r="2">
      <c r="A2" s="2" t="inlineStr">
        <is>
          <t>Collect these and drop them in the folder, then re-run. "started" = first bill on file for that account.</t>
        </is>
      </c>
    </row>
    <row r="4">
      <c r="A4" s="3" t="inlineStr">
        <is>
          <t>Bill / account</t>
        </is>
      </c>
      <c r="B4" s="3" t="inlineStr">
        <is>
          <t>On file</t>
        </is>
      </c>
      <c r="C4" s="3" t="inlineStr">
        <is>
          <t>First on file</t>
        </is>
      </c>
      <c r="D4" s="3" t="inlineStr">
        <is>
          <t>Missing months (need to collect)</t>
        </is>
      </c>
    </row>
    <row r="5">
      <c r="A5" s="26" t="inlineStr">
        <is>
          <t>Atmos (Gas)</t>
        </is>
      </c>
      <c r="B5" s="26" t="inlineStr">
        <is>
          <t>11/24</t>
        </is>
      </c>
      <c r="C5" s="26" t="inlineStr">
        <is>
          <t>2024-08</t>
        </is>
      </c>
      <c r="D5" s="27" t="inlineStr">
        <is>
          <t>2025-02, 2025-03, 2025-04, 2025-05, 2025-06, 2025-08, 2025-09, 2025-10, 2025-11, 2025-12, 2026-01, 2026-02, 2026-03</t>
        </is>
      </c>
    </row>
    <row r="6">
      <c r="A6" s="26" t="inlineStr">
        <is>
          <t>Entergy (Electric)</t>
        </is>
      </c>
      <c r="B6" s="26" t="inlineStr">
        <is>
          <t>7/24</t>
        </is>
      </c>
      <c r="C6" s="26" t="inlineStr">
        <is>
          <t>2024-09</t>
        </is>
      </c>
      <c r="D6" s="27" t="inlineStr">
        <is>
          <t>2024-08, 2024-10, 2024-11, 2025-02, 2025-03, 2025-04, 2025-05, 2025-06, 2025-07, 2025-08, 2025-09, 2025-10, 2025-11, 2025-12, 2026-01, 2026-02, 2026-03</t>
        </is>
      </c>
    </row>
    <row r="7">
      <c r="A7" s="26" t="inlineStr">
        <is>
          <t>AT&amp;T Internet</t>
        </is>
      </c>
      <c r="B7" s="26" t="inlineStr">
        <is>
          <t>10/24</t>
        </is>
      </c>
      <c r="C7" s="26" t="inlineStr">
        <is>
          <t>2024-08</t>
        </is>
      </c>
      <c r="D7" s="27" t="inlineStr">
        <is>
          <t>2025-03, 2025-04, 2025-05, 2025-06, 2025-07, 2025-08, 2025-09, 2025-10, 2025-11, 2025-12, 2026-01, 2026-02, 2026-04, 2026-07</t>
        </is>
      </c>
    </row>
    <row r="8">
      <c r="A8" s="26" t="inlineStr">
        <is>
          <t>BR Water — main</t>
        </is>
      </c>
      <c r="B8" s="26" t="inlineStr">
        <is>
          <t>7/24</t>
        </is>
      </c>
      <c r="C8" s="26" t="inlineStr">
        <is>
          <t>2024-08</t>
        </is>
      </c>
      <c r="D8" s="27" t="inlineStr">
        <is>
          <t>2024-09, 2024-10, 2024-11, 2024-12, 2025-06, 2025-07, 2025-08, 2025-09, 2025-10, 2025-11, 2025-12, 2026-01, 2026-02, 2026-03, 2026-04, 2026-05, 2026-06</t>
        </is>
      </c>
    </row>
    <row r="9">
      <c r="A9" s="26" t="inlineStr">
        <is>
          <t>BR Water — irrigation</t>
        </is>
      </c>
      <c r="B9" s="26" t="inlineStr">
        <is>
          <t>4/24</t>
        </is>
      </c>
      <c r="C9" s="26" t="inlineStr">
        <is>
          <t>2025-01</t>
        </is>
      </c>
      <c r="D9" s="27" t="inlineStr">
        <is>
          <t>2024-08, 2024-09, 2024-10, 2024-11, 2024-12, 2025-02, 2025-03, 2025-04, 2025-05, 2025-06, 2025-07, 2025-08, 2025-09, 2025-10, 2025-11, 2025-12, 2026-01, 2026-02, 2026-03, 2026-04</t>
        </is>
      </c>
    </row>
    <row r="10">
      <c r="A10" s="26" t="inlineStr">
        <is>
          <t>Pool (Fernando)</t>
        </is>
      </c>
      <c r="B10" s="26" t="inlineStr">
        <is>
          <t>8/24</t>
        </is>
      </c>
      <c r="C10" s="26" t="inlineStr">
        <is>
          <t>2024-09</t>
        </is>
      </c>
      <c r="D10" s="27" t="inlineStr">
        <is>
          <t>2024-08, 2025-02, 2025-03, 2025-04, 2025-05, 2025-06, 2025-07, 2025-09, 2025-10, 2025-11, 2025-12, 2026-01, 2026-02, 2026-03, 2026-04, 2026-07</t>
        </is>
      </c>
    </row>
    <row r="11">
      <c r="A11" s="26" t="inlineStr">
        <is>
          <t>PODS (Storage)</t>
        </is>
      </c>
      <c r="B11" s="26" t="inlineStr">
        <is>
          <t>4/24</t>
        </is>
      </c>
      <c r="C11" s="26" t="inlineStr">
        <is>
          <t>2026-02</t>
        </is>
      </c>
      <c r="D11" s="27" t="inlineStr">
        <is>
          <t>2024-08, 2024-09, 2024-10, 2024-11, 2024-12, 2025-01, 2025-02, 2025-03, 2025-04, 2025-05, 2025-06, 2025-07, 2025-08, 2025-09, 2025-10, 2025-11, 2025-12, 2026-01, 2026-06, 2026-07</t>
        </is>
      </c>
    </row>
    <row r="12">
      <c r="A12" s="26" t="inlineStr">
        <is>
          <t>AT&amp;T Business</t>
        </is>
      </c>
      <c r="B12" s="26" t="inlineStr">
        <is>
          <t>22/24</t>
        </is>
      </c>
      <c r="C12" s="26" t="inlineStr">
        <is>
          <t>2024-08</t>
        </is>
      </c>
      <c r="D12" s="27" t="inlineStr">
        <is>
          <t>2026-01, 2026-02</t>
        </is>
      </c>
    </row>
    <row r="14">
      <c r="A14" s="21" t="inlineStr">
        <is>
          <t>Note: bills dated the month AFTER service are normal; “missing” means no statement at all for that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2026-08-30T02:45:34Z</dcterms:created>
  <dcterms:modified xsi:type="dcterms:W3CDTF">2026-08-30T02:45:34Z</dcterms:modified>
</cp:coreProperties>
</file>